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Libro_diario" sheetId="1" state="visible" r:id="rId1"/>
    <sheet name="Control_Factura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b val="1"/>
      <color theme="1" tint="0.0499893185216834"/>
      <sz val="11"/>
      <scheme val="minor"/>
    </font>
    <font>
      <name val="Aptos Narrow"/>
      <family val="2"/>
      <b val="1"/>
      <color rgb="FFFF0000"/>
      <sz val="12"/>
      <scheme val="minor"/>
    </font>
    <font>
      <name val="Calibri"/>
      <b val="1"/>
      <color rgb="00C9A227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A1A3F"/>
        <bgColor rgb="000A1A3F"/>
      </patternFill>
    </fill>
    <fill>
      <patternFill patternType="solid">
        <fgColor rgb="00FFF9C4"/>
        <bgColor rgb="00FFF9C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0" pivotButton="0" quotePrefix="0" xfId="0"/>
    <xf numFmtId="49" fontId="0" fillId="0" borderId="0" pivotButton="0" quotePrefix="0" xfId="0"/>
    <xf numFmtId="4" fontId="3" fillId="0" borderId="0" pivotButton="0" quotePrefix="0" xfId="0"/>
    <xf numFmtId="4" fontId="4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4" fontId="3" fillId="0" borderId="1" pivotButton="0" quotePrefix="0" xfId="0"/>
    <xf numFmtId="0" fontId="0" fillId="2" borderId="0" applyAlignment="1" pivotButton="0" quotePrefix="0" xfId="0">
      <alignment horizontal="center"/>
    </xf>
    <xf numFmtId="49" fontId="0" fillId="2" borderId="0" applyAlignment="1" pivotButton="0" quotePrefix="0" xfId="0">
      <alignment horizontal="center"/>
    </xf>
    <xf numFmtId="4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pivotButton="0" quotePrefix="0" xfId="0"/>
    <xf numFmtId="49" fontId="0" fillId="3" borderId="0" pivotButton="0" quotePrefix="0" xfId="0"/>
    <xf numFmtId="4" fontId="0" fillId="3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164" fontId="0" fillId="4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" fontId="0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 wrapText="1"/>
    </xf>
    <xf numFmtId="0" fontId="6" fillId="0" borderId="2" pivotButton="0" quotePrefix="0" xfId="0"/>
    <xf numFmtId="164" fontId="6" fillId="0" borderId="2" pivotButton="0" quotePrefix="0" xfId="0"/>
    <xf numFmtId="4" fontId="6" fillId="0" borderId="2" pivotButton="0" quotePrefix="0" xfId="0"/>
    <xf numFmtId="0" fontId="6" fillId="6" borderId="2" pivotButton="0" quotePrefix="0" xfId="0"/>
    <xf numFmtId="4" fontId="6" fillId="6" borderId="2" pivotButton="0" quotePrefix="0" xfId="0"/>
    <xf numFmtId="164" fontId="0" fillId="4" borderId="0" applyAlignment="1" pivotButton="0" quotePrefix="0" xfId="0">
      <alignment horizontal="center"/>
    </xf>
    <xf numFmtId="164" fontId="6" fillId="0" borderId="2" pivotButton="0" quotePrefix="0" xfId="0"/>
  </cellXfs>
  <cellStyles count="1">
    <cellStyle name="Normal" xfId="0" builtinId="0"/>
  </cellStyles>
  <dxfs count="7">
    <dxf>
      <numFmt numFmtId="4" formatCode="#,##0.00"/>
      <fill>
        <patternFill patternType="solid">
          <fgColor indexed="64"/>
          <bgColor rgb="FF00B050"/>
        </patternFill>
      </fill>
    </dxf>
    <dxf>
      <numFmt numFmtId="4" formatCode="#,##0.00"/>
      <fill>
        <patternFill patternType="solid">
          <fgColor indexed="64"/>
          <bgColor rgb="FF00B050"/>
        </patternFill>
      </fill>
    </dxf>
    <dxf>
      <numFmt numFmtId="4" formatCode="#,##0.00"/>
      <fill>
        <patternFill patternType="solid">
          <fgColor indexed="64"/>
          <bgColor rgb="FF00B050"/>
        </patternFill>
      </fill>
    </dxf>
    <dxf>
      <numFmt numFmtId="4" formatCode="#,##0.00"/>
    </dxf>
    <dxf>
      <numFmt numFmtId="0" formatCode="General"/>
      <fill>
        <patternFill patternType="solid">
          <fgColor indexed="64"/>
          <bgColor theme="0" tint="-0.1499984740745262"/>
        </patternFill>
      </fill>
    </dxf>
    <dxf>
      <numFmt numFmtId="30" formatCode="@"/>
    </dxf>
    <dxf>
      <fill>
        <patternFill patternType="solid">
          <fgColor indexed="64"/>
          <bgColor rgb="FFC00000"/>
        </patternFill>
      </fill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diario" displayName="tdiario" ref="A5:J6" headerRowCount="1" insertRow="1" totalsRowShown="0" headerRowDxfId="6">
  <tableColumns count="10">
    <tableColumn id="1" name="NRO"/>
    <tableColumn id="2" name="FECHA"/>
    <tableColumn id="3" name="GLOSA"/>
    <tableColumn id="4" name="OBS"/>
    <tableColumn id="5" name="CUENTA" dataDxfId="5"/>
    <tableColumn id="6" name="DETALLE" dataDxfId="4"/>
    <tableColumn id="7" name="DEBE" dataDxfId="3"/>
    <tableColumn id="8" name="HABER" dataDxfId="2"/>
    <tableColumn id="9" name="CLIENTE/PROVEEDOR" dataDxfId="1"/>
    <tableColumn id="10" name="NRO. DOCUMENTO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31"/>
  <sheetViews>
    <sheetView showGridLines="0" workbookViewId="0">
      <selection activeCell="A5" sqref="A5"/>
    </sheetView>
  </sheetViews>
  <sheetFormatPr baseColWidth="10" defaultRowHeight="15"/>
  <cols>
    <col width="6" customWidth="1" min="1" max="1"/>
    <col width="12" customWidth="1" min="2" max="2"/>
    <col width="35" customWidth="1" min="3" max="3"/>
    <col width="20" customWidth="1" min="4" max="4"/>
    <col width="12" customWidth="1" style="2" min="5" max="5"/>
    <col width="55" customWidth="1" min="6" max="6"/>
    <col width="14" customWidth="1" style="15" min="7" max="8"/>
    <col width="14" customWidth="1" min="8" max="8"/>
    <col width="35" bestFit="1" customWidth="1" min="9" max="9"/>
    <col width="22" bestFit="1" customWidth="1" min="10" max="10"/>
  </cols>
  <sheetData>
    <row r="2" ht="21" customHeight="1">
      <c r="C2" s="1" t="inlineStr">
        <is>
          <t>LIBRO DIARIO - EMPRESA DEMO</t>
        </is>
      </c>
      <c r="G2" s="3" t="inlineStr">
        <is>
          <t>DIFERENCIAS</t>
        </is>
      </c>
      <c r="H2" s="4">
        <f>G3-H3</f>
        <v/>
      </c>
    </row>
    <row r="3">
      <c r="C3" s="16" t="inlineStr">
        <is>
          <t>RUC</t>
        </is>
      </c>
      <c r="D3" s="5" t="n"/>
      <c r="F3" s="6" t="inlineStr">
        <is>
          <t>TOTALES</t>
        </is>
      </c>
      <c r="G3" s="7">
        <f>SUM(G6:G33)</f>
        <v/>
      </c>
      <c r="H3" s="7">
        <f>SUM(H6:H33)</f>
        <v/>
      </c>
    </row>
    <row r="5" customFormat="1" s="11">
      <c r="A5" s="8" t="inlineStr">
        <is>
          <t>NRO</t>
        </is>
      </c>
      <c r="B5" s="8" t="inlineStr">
        <is>
          <t>FECHA</t>
        </is>
      </c>
      <c r="C5" s="8" t="inlineStr">
        <is>
          <t>GLOSA</t>
        </is>
      </c>
      <c r="D5" s="8" t="inlineStr">
        <is>
          <t>OBS</t>
        </is>
      </c>
      <c r="E5" s="9" t="inlineStr">
        <is>
          <t>CUENTA</t>
        </is>
      </c>
      <c r="F5" s="8" t="inlineStr">
        <is>
          <t>DETALLE</t>
        </is>
      </c>
      <c r="G5" s="10" t="inlineStr">
        <is>
          <t>DEBE</t>
        </is>
      </c>
      <c r="H5" s="10" t="inlineStr">
        <is>
          <t>HABER</t>
        </is>
      </c>
      <c r="I5" s="8" t="inlineStr">
        <is>
          <t>CLIENTE/PROVEEDOR</t>
        </is>
      </c>
      <c r="J5" s="8" t="inlineStr">
        <is>
          <t>NRO. DOCUMENTO</t>
        </is>
      </c>
    </row>
    <row r="6">
      <c r="A6" s="12" t="n"/>
      <c r="B6" s="12" t="n"/>
      <c r="C6" s="12" t="n"/>
      <c r="D6" s="12" t="n"/>
      <c r="E6" s="13" t="n"/>
      <c r="F6" s="12" t="n"/>
      <c r="G6" s="14" t="n"/>
      <c r="H6" s="14" t="n"/>
      <c r="I6" s="14" t="n"/>
      <c r="J6" s="14" t="n"/>
    </row>
    <row r="7">
      <c r="A7" s="17" t="n">
        <v>1</v>
      </c>
      <c r="B7" s="27" t="n">
        <v>46200</v>
      </c>
      <c r="C7" s="17" t="inlineStr">
        <is>
          <t>Reg. Compras F002-00005396</t>
        </is>
      </c>
      <c r="D7" s="17" t="n"/>
      <c r="E7" s="19" t="inlineStr">
        <is>
          <t>60110001</t>
        </is>
      </c>
      <c r="F7" s="17" t="inlineStr">
        <is>
          <t>Compra mercaderías - Línea A (Abarrotes)</t>
        </is>
      </c>
      <c r="G7" s="20" t="n">
        <v>287.31</v>
      </c>
      <c r="H7" s="20" t="n"/>
      <c r="I7" s="17" t="inlineStr">
        <is>
          <t>INVERSIONES VEGA JAUREGUI S.A.C.</t>
        </is>
      </c>
      <c r="J7" s="17" t="inlineStr">
        <is>
          <t>F002-00005396</t>
        </is>
      </c>
    </row>
    <row r="8">
      <c r="A8" s="17" t="n">
        <v>1</v>
      </c>
      <c r="B8" s="27" t="n">
        <v>46200</v>
      </c>
      <c r="C8" s="17" t="inlineStr">
        <is>
          <t>Reg. Compras F002-00005396</t>
        </is>
      </c>
      <c r="D8" s="17" t="n"/>
      <c r="E8" s="19" t="inlineStr">
        <is>
          <t>40111000</t>
        </is>
      </c>
      <c r="F8" s="17" t="inlineStr">
        <is>
          <t>IGV - Cuenta propia</t>
        </is>
      </c>
      <c r="G8" s="20" t="n">
        <v>51.71</v>
      </c>
      <c r="H8" s="20" t="n"/>
      <c r="I8" s="17" t="inlineStr">
        <is>
          <t>INVERSIONES VEGA JAUREGUI S.A.C.</t>
        </is>
      </c>
      <c r="J8" s="17" t="inlineStr">
        <is>
          <t>F002-00005396</t>
        </is>
      </c>
    </row>
    <row r="9">
      <c r="A9" s="17" t="n">
        <v>1</v>
      </c>
      <c r="B9" s="27" t="n">
        <v>46200</v>
      </c>
      <c r="C9" s="17" t="inlineStr">
        <is>
          <t>Reg. Compras F002-00005396</t>
        </is>
      </c>
      <c r="D9" s="17" t="n"/>
      <c r="E9" s="19" t="inlineStr">
        <is>
          <t>SIN_CONFIGURAR_CXP</t>
        </is>
      </c>
      <c r="F9" s="17" t="inlineStr"/>
      <c r="G9" s="20" t="n"/>
      <c r="H9" s="20" t="n">
        <v>339.02</v>
      </c>
      <c r="I9" s="17" t="inlineStr">
        <is>
          <t>INVERSIONES VEGA JAUREGUI S.A.C.</t>
        </is>
      </c>
      <c r="J9" s="17" t="inlineStr">
        <is>
          <t>F002-00005396</t>
        </is>
      </c>
    </row>
    <row r="10">
      <c r="A10" s="17" t="n">
        <v>1</v>
      </c>
      <c r="B10" s="27" t="n">
        <v>46200</v>
      </c>
      <c r="C10" s="17" t="inlineStr">
        <is>
          <t>Reg. Compras F002-00005396</t>
        </is>
      </c>
      <c r="D10" s="17" t="n"/>
      <c r="E10" s="19" t="inlineStr">
        <is>
          <t>94000000</t>
        </is>
      </c>
      <c r="F10" s="17" t="inlineStr">
        <is>
          <t>GASTOS DE ADMINISTRACIÓN</t>
        </is>
      </c>
      <c r="G10" s="20" t="n">
        <v>287.31</v>
      </c>
      <c r="H10" s="20" t="n"/>
      <c r="I10" s="17" t="n"/>
      <c r="J10" s="17" t="n"/>
    </row>
    <row r="11">
      <c r="A11" s="17" t="n">
        <v>1</v>
      </c>
      <c r="B11" s="27" t="n">
        <v>46200</v>
      </c>
      <c r="C11" s="17" t="inlineStr">
        <is>
          <t>Reg. Compras F002-00005396</t>
        </is>
      </c>
      <c r="D11" s="17" t="n"/>
      <c r="E11" s="19" t="inlineStr">
        <is>
          <t>79100000</t>
        </is>
      </c>
      <c r="F11" s="17" t="inlineStr">
        <is>
          <t>Cargas imputables a cuentas de costos y gastos</t>
        </is>
      </c>
      <c r="G11" s="20" t="n"/>
      <c r="H11" s="20" t="n">
        <v>287.31</v>
      </c>
      <c r="I11" s="17" t="n"/>
      <c r="J11" s="17" t="n"/>
    </row>
    <row r="13">
      <c r="A13" s="17" t="n">
        <v>2</v>
      </c>
      <c r="B13" s="27" t="n">
        <v>45770</v>
      </c>
      <c r="C13" s="17" t="inlineStr">
        <is>
          <t>Reg. Ventas E001-00000001</t>
        </is>
      </c>
      <c r="D13" s="17" t="n"/>
      <c r="E13" s="19" t="inlineStr">
        <is>
          <t>SIN_CONFIGURAR_CXC</t>
        </is>
      </c>
      <c r="F13" s="17" t="inlineStr"/>
      <c r="G13" s="20" t="n">
        <v>3766.09</v>
      </c>
      <c r="H13" s="20" t="n"/>
      <c r="I13" s="17" t="inlineStr">
        <is>
          <t>CORNEJO RETO JOSE ROBERTO ANDRE</t>
        </is>
      </c>
      <c r="J13" s="17" t="inlineStr">
        <is>
          <t>E001-00000001</t>
        </is>
      </c>
    </row>
    <row r="14">
      <c r="A14" s="17" t="n">
        <v>2</v>
      </c>
      <c r="B14" s="27" t="n">
        <v>45770</v>
      </c>
      <c r="C14" s="17" t="inlineStr">
        <is>
          <t>Reg. Ventas E001-00000001</t>
        </is>
      </c>
      <c r="D14" s="17" t="n"/>
      <c r="E14" s="19" t="inlineStr">
        <is>
          <t>40111000</t>
        </is>
      </c>
      <c r="F14" s="17" t="inlineStr">
        <is>
          <t>IGV - Cuenta propia</t>
        </is>
      </c>
      <c r="G14" s="20" t="n"/>
      <c r="H14" s="20" t="n">
        <v>574.49</v>
      </c>
      <c r="I14" s="17" t="inlineStr">
        <is>
          <t>CORNEJO RETO JOSE ROBERTO ANDRE</t>
        </is>
      </c>
      <c r="J14" s="17" t="inlineStr">
        <is>
          <t>E001-00000001</t>
        </is>
      </c>
    </row>
    <row r="15">
      <c r="A15" s="17" t="n">
        <v>2</v>
      </c>
      <c r="B15" s="27" t="n">
        <v>45770</v>
      </c>
      <c r="C15" s="17" t="inlineStr">
        <is>
          <t>Reg. Ventas E001-00000001</t>
        </is>
      </c>
      <c r="D15" s="17" t="n"/>
      <c r="E15" s="19" t="inlineStr">
        <is>
          <t>70110000</t>
        </is>
      </c>
      <c r="F15" s="17" t="inlineStr">
        <is>
          <t>Mercaderías manufacturadas</t>
        </is>
      </c>
      <c r="G15" s="20" t="n"/>
      <c r="H15" s="20" t="n">
        <v>3191.6</v>
      </c>
      <c r="I15" s="17" t="inlineStr">
        <is>
          <t>CORNEJO RETO JOSE ROBERTO ANDRE</t>
        </is>
      </c>
      <c r="J15" s="17" t="inlineStr">
        <is>
          <t>E001-00000001</t>
        </is>
      </c>
    </row>
    <row r="17">
      <c r="A17" s="17" t="n">
        <v>3</v>
      </c>
      <c r="B17" s="27" t="n">
        <v>45985</v>
      </c>
      <c r="C17" s="17" t="inlineStr">
        <is>
          <t>Reg. Ventas E001-00001</t>
        </is>
      </c>
      <c r="D17" s="17" t="n"/>
      <c r="E17" s="19" t="inlineStr">
        <is>
          <t>SIN_CONFIGURAR_CXC</t>
        </is>
      </c>
      <c r="F17" s="17" t="inlineStr"/>
      <c r="G17" s="20" t="n">
        <v>1865.22</v>
      </c>
      <c r="H17" s="20" t="n"/>
      <c r="I17" s="17" t="inlineStr">
        <is>
          <t>CORNEJO RETO JOSE ROBERTO ANDRE</t>
        </is>
      </c>
      <c r="J17" s="17" t="inlineStr">
        <is>
          <t>E001-00001</t>
        </is>
      </c>
    </row>
    <row r="18">
      <c r="A18" s="17" t="n">
        <v>3</v>
      </c>
      <c r="B18" s="27" t="n">
        <v>45985</v>
      </c>
      <c r="C18" s="17" t="inlineStr">
        <is>
          <t>Reg. Ventas E001-00001</t>
        </is>
      </c>
      <c r="D18" s="17" t="n"/>
      <c r="E18" s="19" t="inlineStr">
        <is>
          <t>40111000</t>
        </is>
      </c>
      <c r="F18" s="17" t="inlineStr">
        <is>
          <t>IGV - Cuenta propia</t>
        </is>
      </c>
      <c r="G18" s="20" t="n"/>
      <c r="H18" s="20" t="n">
        <v>284.36</v>
      </c>
      <c r="I18" s="17" t="inlineStr">
        <is>
          <t>CORNEJO RETO JOSE ROBERTO ANDRE</t>
        </is>
      </c>
      <c r="J18" s="17" t="inlineStr">
        <is>
          <t>E001-00001</t>
        </is>
      </c>
    </row>
    <row r="19">
      <c r="A19" s="17" t="n">
        <v>3</v>
      </c>
      <c r="B19" s="27" t="n">
        <v>45985</v>
      </c>
      <c r="C19" s="17" t="inlineStr">
        <is>
          <t>Reg. Ventas E001-00001</t>
        </is>
      </c>
      <c r="D19" s="17" t="n"/>
      <c r="E19" s="19" t="inlineStr">
        <is>
          <t>70110000</t>
        </is>
      </c>
      <c r="F19" s="17" t="inlineStr">
        <is>
          <t>Mercaderías manufacturadas</t>
        </is>
      </c>
      <c r="G19" s="20" t="n"/>
      <c r="H19" s="20" t="n">
        <v>1580.86</v>
      </c>
      <c r="I19" s="17" t="inlineStr">
        <is>
          <t>CORNEJO RETO JOSE ROBERTO ANDRE</t>
        </is>
      </c>
      <c r="J19" s="17" t="inlineStr">
        <is>
          <t>E001-00001</t>
        </is>
      </c>
    </row>
    <row r="21">
      <c r="A21" s="17" t="n">
        <v>4</v>
      </c>
      <c r="B21" s="27" t="n">
        <v>46007</v>
      </c>
      <c r="C21" s="17" t="inlineStr">
        <is>
          <t>Reg. Ventas E001-00000520</t>
        </is>
      </c>
      <c r="D21" s="17" t="n"/>
      <c r="E21" s="19" t="inlineStr">
        <is>
          <t>SIN_CONFIGURAR_CXC</t>
        </is>
      </c>
      <c r="F21" s="17" t="inlineStr"/>
      <c r="G21" s="20" t="n">
        <v>924</v>
      </c>
      <c r="H21" s="20" t="n"/>
      <c r="I21" s="17" t="inlineStr">
        <is>
          <t>RESTAURANTE HUAPAYA SOCIEDAD ANONIMA CERRADA</t>
        </is>
      </c>
      <c r="J21" s="17" t="inlineStr">
        <is>
          <t>E001-00000520</t>
        </is>
      </c>
    </row>
    <row r="22">
      <c r="A22" s="17" t="n">
        <v>4</v>
      </c>
      <c r="B22" s="27" t="n">
        <v>46007</v>
      </c>
      <c r="C22" s="17" t="inlineStr">
        <is>
          <t>Reg. Ventas E001-00000520</t>
        </is>
      </c>
      <c r="D22" s="17" t="n"/>
      <c r="E22" s="19" t="inlineStr">
        <is>
          <t>40111000</t>
        </is>
      </c>
      <c r="F22" s="17" t="inlineStr">
        <is>
          <t>IGV - Cuenta propia</t>
        </is>
      </c>
      <c r="G22" s="20" t="n"/>
      <c r="H22" s="20" t="n">
        <v>140.95</v>
      </c>
      <c r="I22" s="17" t="inlineStr">
        <is>
          <t>RESTAURANTE HUAPAYA SOCIEDAD ANONIMA CERRADA</t>
        </is>
      </c>
      <c r="J22" s="17" t="inlineStr">
        <is>
          <t>E001-00000520</t>
        </is>
      </c>
    </row>
    <row r="23">
      <c r="A23" s="17" t="n">
        <v>4</v>
      </c>
      <c r="B23" s="27" t="n">
        <v>46007</v>
      </c>
      <c r="C23" s="17" t="inlineStr">
        <is>
          <t>Reg. Ventas E001-00000520</t>
        </is>
      </c>
      <c r="D23" s="17" t="n"/>
      <c r="E23" s="19" t="inlineStr">
        <is>
          <t>70110000</t>
        </is>
      </c>
      <c r="F23" s="17" t="inlineStr">
        <is>
          <t>Mercaderías manufacturadas</t>
        </is>
      </c>
      <c r="G23" s="20" t="n"/>
      <c r="H23" s="20" t="n">
        <v>783.05</v>
      </c>
      <c r="I23" s="17" t="inlineStr">
        <is>
          <t>RESTAURANTE HUAPAYA SOCIEDAD ANONIMA CERRADA</t>
        </is>
      </c>
      <c r="J23" s="17" t="inlineStr">
        <is>
          <t>E001-00000520</t>
        </is>
      </c>
    </row>
    <row r="25">
      <c r="A25" s="17" t="n">
        <v>5</v>
      </c>
      <c r="B25" s="27" t="n">
        <v>46008</v>
      </c>
      <c r="C25" s="17" t="inlineStr">
        <is>
          <t>Reg. Ventas E001-00000521</t>
        </is>
      </c>
      <c r="D25" s="17" t="n"/>
      <c r="E25" s="19" t="inlineStr">
        <is>
          <t>SIN_CONFIGURAR_CXC</t>
        </is>
      </c>
      <c r="F25" s="17" t="inlineStr"/>
      <c r="G25" s="20" t="n">
        <v>1068</v>
      </c>
      <c r="H25" s="20" t="n"/>
      <c r="I25" s="17" t="inlineStr">
        <is>
          <t>RESTAURANT HUAPAYA SOCIEDAD ANONIMA CERRADA</t>
        </is>
      </c>
      <c r="J25" s="17" t="inlineStr">
        <is>
          <t>E001-00000521</t>
        </is>
      </c>
    </row>
    <row r="26">
      <c r="A26" s="17" t="n">
        <v>5</v>
      </c>
      <c r="B26" s="27" t="n">
        <v>46008</v>
      </c>
      <c r="C26" s="17" t="inlineStr">
        <is>
          <t>Reg. Ventas E001-00000521</t>
        </is>
      </c>
      <c r="D26" s="17" t="n"/>
      <c r="E26" s="19" t="inlineStr">
        <is>
          <t>40111000</t>
        </is>
      </c>
      <c r="F26" s="17" t="inlineStr">
        <is>
          <t>IGV - Cuenta propia</t>
        </is>
      </c>
      <c r="G26" s="20" t="n"/>
      <c r="H26" s="20" t="n">
        <v>162.91</v>
      </c>
      <c r="I26" s="17" t="inlineStr">
        <is>
          <t>RESTAURANT HUAPAYA SOCIEDAD ANONIMA CERRADA</t>
        </is>
      </c>
      <c r="J26" s="17" t="inlineStr">
        <is>
          <t>E001-00000521</t>
        </is>
      </c>
    </row>
    <row r="27">
      <c r="A27" s="17" t="n">
        <v>5</v>
      </c>
      <c r="B27" s="27" t="n">
        <v>46008</v>
      </c>
      <c r="C27" s="17" t="inlineStr">
        <is>
          <t>Reg. Ventas E001-00000521</t>
        </is>
      </c>
      <c r="D27" s="17" t="n"/>
      <c r="E27" s="19" t="inlineStr">
        <is>
          <t>70110000</t>
        </is>
      </c>
      <c r="F27" s="17" t="inlineStr">
        <is>
          <t>Mercaderías manufacturadas</t>
        </is>
      </c>
      <c r="G27" s="20" t="n"/>
      <c r="H27" s="20" t="n">
        <v>905.08</v>
      </c>
      <c r="I27" s="17" t="inlineStr">
        <is>
          <t>RESTAURANT HUAPAYA SOCIEDAD ANONIMA CERRADA</t>
        </is>
      </c>
      <c r="J27" s="17" t="inlineStr">
        <is>
          <t>E001-00000521</t>
        </is>
      </c>
    </row>
    <row r="29">
      <c r="A29" s="17" t="n">
        <v>6</v>
      </c>
      <c r="B29" s="27" t="n">
        <v>46009</v>
      </c>
      <c r="C29" s="17" t="inlineStr">
        <is>
          <t>Reg. Ventas E001-00000522</t>
        </is>
      </c>
      <c r="D29" s="17" t="n"/>
      <c r="E29" s="19" t="inlineStr">
        <is>
          <t>SIN_CONFIGURAR_CXC</t>
        </is>
      </c>
      <c r="F29" s="17" t="inlineStr"/>
      <c r="G29" s="20" t="n">
        <v>1263.7</v>
      </c>
      <c r="H29" s="20" t="n"/>
      <c r="I29" s="17" t="inlineStr">
        <is>
          <t>RESTAURANTE HUAPAYA SOCIEDAD ANONIMA CERRADA</t>
        </is>
      </c>
      <c r="J29" s="17" t="inlineStr">
        <is>
          <t>E001-00000522</t>
        </is>
      </c>
    </row>
    <row r="30">
      <c r="A30" s="17" t="n">
        <v>6</v>
      </c>
      <c r="B30" s="27" t="n">
        <v>46009</v>
      </c>
      <c r="C30" s="17" t="inlineStr">
        <is>
          <t>Reg. Ventas E001-00000522</t>
        </is>
      </c>
      <c r="D30" s="17" t="n"/>
      <c r="E30" s="19" t="inlineStr">
        <is>
          <t>40111000</t>
        </is>
      </c>
      <c r="F30" s="17" t="inlineStr">
        <is>
          <t>IGV - Cuenta propia</t>
        </is>
      </c>
      <c r="G30" s="20" t="n"/>
      <c r="H30" s="20" t="n">
        <v>192.77</v>
      </c>
      <c r="I30" s="17" t="inlineStr">
        <is>
          <t>RESTAURANTE HUAPAYA SOCIEDAD ANONIMA CERRADA</t>
        </is>
      </c>
      <c r="J30" s="17" t="inlineStr">
        <is>
          <t>E001-00000522</t>
        </is>
      </c>
    </row>
    <row r="31">
      <c r="A31" s="17" t="n">
        <v>6</v>
      </c>
      <c r="B31" s="27" t="n">
        <v>46009</v>
      </c>
      <c r="C31" s="17" t="inlineStr">
        <is>
          <t>Reg. Ventas E001-00000522</t>
        </is>
      </c>
      <c r="D31" s="17" t="n"/>
      <c r="E31" s="19" t="inlineStr">
        <is>
          <t>70110000</t>
        </is>
      </c>
      <c r="F31" s="17" t="inlineStr">
        <is>
          <t>Mercaderías manufacturadas</t>
        </is>
      </c>
      <c r="G31" s="20" t="n"/>
      <c r="H31" s="20" t="n">
        <v>1070.93</v>
      </c>
      <c r="I31" s="17" t="inlineStr">
        <is>
          <t>RESTAURANTE HUAPAYA SOCIEDAD ANONIMA CERRADA</t>
        </is>
      </c>
      <c r="J31" s="17" t="inlineStr">
        <is>
          <t>E001-00000522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5" customWidth="1" min="4" max="4"/>
    <col width="20" customWidth="1" min="5" max="5"/>
    <col width="45" customWidth="1" min="6" max="6"/>
    <col width="14" customWidth="1" min="7" max="7"/>
    <col width="12" customWidth="1" min="8" max="8"/>
    <col width="14" customWidth="1" min="9" max="9"/>
    <col width="8" customWidth="1" min="10" max="10"/>
    <col width="16" customWidth="1" min="11" max="11"/>
    <col width="16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  <col width="20" customWidth="1" min="18" max="18"/>
  </cols>
  <sheetData>
    <row r="1" ht="30" customHeight="1">
      <c r="A1" s="21" t="inlineStr">
        <is>
          <t>TIPO_OPERACION</t>
        </is>
      </c>
      <c r="B1" s="21" t="inlineStr">
        <is>
          <t>FECHA_EMISION</t>
        </is>
      </c>
      <c r="C1" s="21" t="inlineStr">
        <is>
          <t>RUC_TERCERO</t>
        </is>
      </c>
      <c r="D1" s="21" t="inlineStr">
        <is>
          <t>RAZON_SOCIAL</t>
        </is>
      </c>
      <c r="E1" s="21" t="inlineStr">
        <is>
          <t>NRO_DOCUMENTO</t>
        </is>
      </c>
      <c r="F1" s="21" t="inlineStr">
        <is>
          <t>DESCRIPCION_SERVICIO</t>
        </is>
      </c>
      <c r="G1" s="21" t="inlineStr">
        <is>
          <t>BASE_IMPONIBLE</t>
        </is>
      </c>
      <c r="H1" s="21" t="inlineStr">
        <is>
          <t>IGV</t>
        </is>
      </c>
      <c r="I1" s="21" t="inlineStr">
        <is>
          <t>TOTAL</t>
        </is>
      </c>
      <c r="J1" s="21" t="inlineStr">
        <is>
          <t>MONEDA</t>
        </is>
      </c>
      <c r="K1" s="21" t="inlineStr">
        <is>
          <t>TIENE_DETRACCION</t>
        </is>
      </c>
      <c r="L1" s="21" t="inlineStr">
        <is>
          <t>MONTO_DETRACCION</t>
        </is>
      </c>
      <c r="M1" s="21" t="inlineStr">
        <is>
          <t>ESTADO_PAGO</t>
        </is>
      </c>
      <c r="N1" s="21" t="inlineStr">
        <is>
          <t>FECHA_VCTO</t>
        </is>
      </c>
      <c r="O1" s="21" t="inlineStr">
        <is>
          <t>BANCO</t>
        </is>
      </c>
      <c r="P1" s="21" t="inlineStr">
        <is>
          <t>MONTO_PAGADO</t>
        </is>
      </c>
      <c r="Q1" s="21" t="inlineStr">
        <is>
          <t>NRO_OPERACION</t>
        </is>
      </c>
      <c r="R1" s="21" t="inlineStr">
        <is>
          <t>OBSERVACIONES</t>
        </is>
      </c>
    </row>
    <row r="2">
      <c r="A2" s="22" t="inlineStr">
        <is>
          <t>VENTA</t>
        </is>
      </c>
      <c r="B2" s="28" t="n">
        <v>45770</v>
      </c>
      <c r="C2" s="22" t="n"/>
      <c r="D2" s="22" t="inlineStr">
        <is>
          <t>CORNEJO RETO JOSE ROBERTO ANDRE</t>
        </is>
      </c>
      <c r="E2" s="22" t="inlineStr">
        <is>
          <t>E001-00000001</t>
        </is>
      </c>
      <c r="F2" s="22" t="inlineStr">
        <is>
          <t>SERVICIO DE ALQUILER DE VEHICULO CON PLACA CSR-895 CORRESPONDIENTE AL MES DE MARZO 2025</t>
        </is>
      </c>
      <c r="G2" s="24" t="n">
        <v>3194.31</v>
      </c>
      <c r="H2" s="24" t="n">
        <v>574.98</v>
      </c>
      <c r="I2" s="24" t="n">
        <v>3766.09</v>
      </c>
      <c r="J2" s="22" t="inlineStr">
        <is>
          <t>PEN</t>
        </is>
      </c>
      <c r="K2" s="22" t="inlineStr">
        <is>
          <t>NO</t>
        </is>
      </c>
      <c r="L2" s="24" t="n">
        <v>0</v>
      </c>
      <c r="M2" s="25" t="n"/>
      <c r="N2" s="25" t="n"/>
      <c r="O2" s="25" t="n"/>
      <c r="P2" s="26" t="n"/>
      <c r="Q2" s="25" t="n"/>
      <c r="R2" s="25" t="n"/>
    </row>
    <row r="3">
      <c r="A3" s="22" t="inlineStr">
        <is>
          <t>VENTA</t>
        </is>
      </c>
      <c r="B3" s="28" t="n">
        <v>45985</v>
      </c>
      <c r="C3" s="22" t="n"/>
      <c r="D3" s="22" t="inlineStr">
        <is>
          <t>CORNEJO RETO JOSE ROBERTO ANDRE</t>
        </is>
      </c>
      <c r="E3" s="22" t="inlineStr">
        <is>
          <t>E001-00001</t>
        </is>
      </c>
      <c r="F3" s="22" t="inlineStr">
        <is>
          <t>SERVICIO DE TRANSPORTE POR EL MES DE OCTUBRE 2025 PLACA C5F-895</t>
        </is>
      </c>
      <c r="G3" s="24" t="n">
        <v>1580.86</v>
      </c>
      <c r="H3" s="24" t="n">
        <v>284.36</v>
      </c>
      <c r="I3" s="24" t="n">
        <v>1865.22</v>
      </c>
      <c r="J3" s="22" t="inlineStr">
        <is>
          <t>PEN</t>
        </is>
      </c>
      <c r="K3" s="22" t="inlineStr">
        <is>
          <t>NO</t>
        </is>
      </c>
      <c r="L3" s="24" t="n">
        <v>0</v>
      </c>
      <c r="M3" s="25" t="n"/>
      <c r="N3" s="25" t="n"/>
      <c r="O3" s="25" t="n"/>
      <c r="P3" s="26" t="n"/>
      <c r="Q3" s="25" t="n"/>
      <c r="R3" s="25" t="n"/>
    </row>
    <row r="4">
      <c r="A4" s="22" t="inlineStr">
        <is>
          <t>VENTA</t>
        </is>
      </c>
      <c r="B4" s="28" t="n">
        <v>46007</v>
      </c>
      <c r="C4" s="22" t="inlineStr">
        <is>
          <t>20613075918</t>
        </is>
      </c>
      <c r="D4" s="22" t="inlineStr">
        <is>
          <t>RESTAURANTE HUAPAYA SOCIEDAD ANONIMA CERRADA</t>
        </is>
      </c>
      <c r="E4" s="22" t="inlineStr">
        <is>
          <t>E001-00000520</t>
        </is>
      </c>
      <c r="F4" s="22" t="inlineStr">
        <is>
          <t>HUEVOS DE GRANJA</t>
        </is>
      </c>
      <c r="G4" s="24" t="n">
        <v>782.99</v>
      </c>
      <c r="H4" s="24" t="n">
        <v>140.94</v>
      </c>
      <c r="I4" s="24" t="n">
        <v>924</v>
      </c>
      <c r="J4" s="22" t="inlineStr">
        <is>
          <t>PEN</t>
        </is>
      </c>
      <c r="K4" s="22" t="inlineStr">
        <is>
          <t>NO</t>
        </is>
      </c>
      <c r="L4" s="24" t="n">
        <v>0</v>
      </c>
      <c r="M4" s="25" t="n"/>
      <c r="N4" s="25" t="n"/>
      <c r="O4" s="25" t="n"/>
      <c r="P4" s="26" t="n"/>
      <c r="Q4" s="25" t="n"/>
      <c r="R4" s="25" t="n"/>
    </row>
    <row r="5">
      <c r="A5" s="22" t="inlineStr">
        <is>
          <t>VENTA</t>
        </is>
      </c>
      <c r="B5" s="28" t="n">
        <v>46008</v>
      </c>
      <c r="C5" s="22" t="inlineStr">
        <is>
          <t>20613075918</t>
        </is>
      </c>
      <c r="D5" s="22" t="inlineStr">
        <is>
          <t>RESTAURANT HUAPAYA SOCIEDAD ANONIMA CERRADA</t>
        </is>
      </c>
      <c r="E5" s="22" t="inlineStr">
        <is>
          <t>E001-00000521</t>
        </is>
      </c>
      <c r="F5" s="22" t="inlineStr">
        <is>
          <t>HUEVOS DE GRANJA Y HUEVOS DE CORRAL</t>
        </is>
      </c>
      <c r="G5" s="24" t="n">
        <v>905.08</v>
      </c>
      <c r="H5" s="24" t="n">
        <v>162.91</v>
      </c>
      <c r="I5" s="24" t="n">
        <v>1068</v>
      </c>
      <c r="J5" s="22" t="inlineStr">
        <is>
          <t>PEN</t>
        </is>
      </c>
      <c r="K5" s="22" t="inlineStr">
        <is>
          <t>NO</t>
        </is>
      </c>
      <c r="L5" s="24" t="n">
        <v>0</v>
      </c>
      <c r="M5" s="25" t="n"/>
      <c r="N5" s="25" t="n"/>
      <c r="O5" s="25" t="n"/>
      <c r="P5" s="26" t="n"/>
      <c r="Q5" s="25" t="n"/>
      <c r="R5" s="25" t="n"/>
    </row>
    <row r="6">
      <c r="A6" s="22" t="inlineStr">
        <is>
          <t>VENTA</t>
        </is>
      </c>
      <c r="B6" s="28" t="n">
        <v>46009</v>
      </c>
      <c r="C6" s="22" t="inlineStr">
        <is>
          <t>20613075918</t>
        </is>
      </c>
      <c r="D6" s="22" t="inlineStr">
        <is>
          <t>RESTAURANTE HUAPAYA SOCIEDAD ANONIMA CERRADA</t>
        </is>
      </c>
      <c r="E6" s="22" t="inlineStr">
        <is>
          <t>E001-00000522</t>
        </is>
      </c>
      <c r="F6" s="22" t="inlineStr">
        <is>
          <t>HUEVOS DE GRANJA Y HUEVOS DE CORRAL</t>
        </is>
      </c>
      <c r="G6" s="24" t="n">
        <v>907.9</v>
      </c>
      <c r="H6" s="24" t="n">
        <v>163.42</v>
      </c>
      <c r="I6" s="24" t="n">
        <v>1263.7</v>
      </c>
      <c r="J6" s="22" t="inlineStr">
        <is>
          <t>PEN</t>
        </is>
      </c>
      <c r="K6" s="22" t="inlineStr">
        <is>
          <t>NO</t>
        </is>
      </c>
      <c r="L6" s="24" t="n">
        <v>0</v>
      </c>
      <c r="M6" s="25" t="n"/>
      <c r="N6" s="25" t="n"/>
      <c r="O6" s="25" t="n"/>
      <c r="P6" s="26" t="n"/>
      <c r="Q6" s="25" t="n"/>
      <c r="R6" s="25" t="n"/>
    </row>
    <row r="7">
      <c r="A7" s="22" t="inlineStr">
        <is>
          <t>COMPRA</t>
        </is>
      </c>
      <c r="B7" s="28" t="n">
        <v>46200</v>
      </c>
      <c r="C7" s="22" t="inlineStr">
        <is>
          <t>20611104968</t>
        </is>
      </c>
      <c r="D7" s="22" t="inlineStr">
        <is>
          <t>INVERSIONES VEGA JAUREGUI S.A.C.</t>
        </is>
      </c>
      <c r="E7" s="22" t="inlineStr">
        <is>
          <t>F002-00005396</t>
        </is>
      </c>
      <c r="F7" s="22" t="inlineStr">
        <is>
          <t>Bebidas alcohólicas y no alcohólicas</t>
        </is>
      </c>
      <c r="G7" s="24" t="n">
        <v>287.31</v>
      </c>
      <c r="H7" s="24" t="n">
        <v>51.71</v>
      </c>
      <c r="I7" s="24" t="n">
        <v>339.02</v>
      </c>
      <c r="J7" s="22" t="inlineStr">
        <is>
          <t>PEN</t>
        </is>
      </c>
      <c r="K7" s="22" t="inlineStr">
        <is>
          <t>NO</t>
        </is>
      </c>
      <c r="L7" s="24" t="n">
        <v>0</v>
      </c>
      <c r="M7" s="25" t="n"/>
      <c r="N7" s="25" t="n"/>
      <c r="O7" s="25" t="n"/>
      <c r="P7" s="26" t="n"/>
      <c r="Q7" s="25" t="n"/>
      <c r="R7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CARLOS TORRES</dc:creator>
  <dcterms:created xsi:type="dcterms:W3CDTF">2026-05-27T23:20:15Z</dcterms:created>
  <dcterms:modified xsi:type="dcterms:W3CDTF">2026-07-09T21:33:08Z</dcterms:modified>
  <cp:lastModifiedBy>gabriel untiveros untiveros</cp:lastModifiedBy>
</cp:coreProperties>
</file>