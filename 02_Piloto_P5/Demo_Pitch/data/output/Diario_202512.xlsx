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yecto_Gabriel\01_Portfolio\Proyecto_5_Demo\data\output\"/>
    </mc:Choice>
  </mc:AlternateContent>
  <xr:revisionPtr revIDLastSave="0" documentId="13_ncr:1_{2BE2215F-85F4-4D31-A19E-4E88AD1E28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bro_diario" sheetId="1" r:id="rId1"/>
    <sheet name="Control_Facturas" sheetId="2" r:id="rId2"/>
  </sheets>
  <calcPr calcId="191029"/>
</workbook>
</file>

<file path=xl/calcChain.xml><?xml version="1.0" encoding="utf-8"?>
<calcChain xmlns="http://schemas.openxmlformats.org/spreadsheetml/2006/main">
  <c r="H3" i="1" l="1"/>
  <c r="G3" i="1"/>
  <c r="H2" i="1" s="1"/>
</calcChain>
</file>

<file path=xl/sharedStrings.xml><?xml version="1.0" encoding="utf-8"?>
<sst xmlns="http://schemas.openxmlformats.org/spreadsheetml/2006/main" count="98" uniqueCount="51">
  <si>
    <t>TIPO_OPERACION</t>
  </si>
  <si>
    <t>FECHA_EMISION</t>
  </si>
  <si>
    <t>RUC_TERCERO</t>
  </si>
  <si>
    <t>RAZON_SOCIAL</t>
  </si>
  <si>
    <t>NRO_DOCUMENTO</t>
  </si>
  <si>
    <t>DESCRIPCION_SERVICIO</t>
  </si>
  <si>
    <t>BASE_IMPONIBLE</t>
  </si>
  <si>
    <t>IGV</t>
  </si>
  <si>
    <t>TOTAL</t>
  </si>
  <si>
    <t>MONEDA</t>
  </si>
  <si>
    <t>TIENE_DETRACCION</t>
  </si>
  <si>
    <t>MONTO_DETRACCION</t>
  </si>
  <si>
    <t>ESTADO_PAGO</t>
  </si>
  <si>
    <t>FECHA_VCTO</t>
  </si>
  <si>
    <t>BANCO</t>
  </si>
  <si>
    <t>MONTO_PAGADO</t>
  </si>
  <si>
    <t>NRO_OPERACION</t>
  </si>
  <si>
    <t>OBSERVACIONES</t>
  </si>
  <si>
    <t>VENTA</t>
  </si>
  <si>
    <t>20613075918</t>
  </si>
  <si>
    <t>RESTAURANTE HUAPAYA SOCIEDAD ANONIMA CERRADA</t>
  </si>
  <si>
    <t>E001-00000520</t>
  </si>
  <si>
    <t>HUEVOS DE GRANJA</t>
  </si>
  <si>
    <t>PEN</t>
  </si>
  <si>
    <t>NO</t>
  </si>
  <si>
    <t>E001-00000521</t>
  </si>
  <si>
    <t>HUEVOS DE GRANJA Y HUEVOS DE CORRAL</t>
  </si>
  <si>
    <t>E001-00000522</t>
  </si>
  <si>
    <t>LIBRO DIARIO - EMPRESA DEMO</t>
  </si>
  <si>
    <t>DIFERENCIAS</t>
  </si>
  <si>
    <t>RUC</t>
  </si>
  <si>
    <t>TOTALES</t>
  </si>
  <si>
    <t>NRO</t>
  </si>
  <si>
    <t>FECHA</t>
  </si>
  <si>
    <t>GLOSA</t>
  </si>
  <si>
    <t>OBS</t>
  </si>
  <si>
    <t>CUENTA</t>
  </si>
  <si>
    <t>DETALLE</t>
  </si>
  <si>
    <t>DEBE</t>
  </si>
  <si>
    <t>HABER</t>
  </si>
  <si>
    <t>CLIENTE/PROVEEDOR</t>
  </si>
  <si>
    <t>NRO. DOCUMENTO</t>
  </si>
  <si>
    <t>Reg. Ventas E001-00000520</t>
  </si>
  <si>
    <t>12121</t>
  </si>
  <si>
    <t>EMITIDAS EN CARTERA - Facturas, Boletas y Otros Comprobantes Por Cobrar - Terceros</t>
  </si>
  <si>
    <t>40111</t>
  </si>
  <si>
    <t>IGV - CUENTA PROPIA - Por Pagar - Gobierno Central</t>
  </si>
  <si>
    <t>7041</t>
  </si>
  <si>
    <t>TERCEROS - Prestacion De Servicios - Ventas</t>
  </si>
  <si>
    <t>Reg. Ventas E001-00000521</t>
  </si>
  <si>
    <t>Reg. Ventas E001-00000522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</si>
</sst>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theme="1" tint="4.9989318521683403E-2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0"/>
      <color rgb="FFC9A227"/>
      <name val="Calibri"/>
    </font>
    <font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A1A3F"/>
        <bgColor rgb="FF0A1A3F"/>
      </patternFill>
    </fill>
    <fill>
      <patternFill patternType="solid">
        <fgColor rgb="FFFFF9C4"/>
        <bgColor rgb="FFFFF9C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49" fontId="0" fillId="0" borderId="0" xfId="0" applyNumberFormat="1"/>
    <xf numFmtId="4" fontId="3" fillId="0" borderId="0" xfId="0" applyNumberFormat="1" applyFont="1"/>
    <xf numFmtId="4" fontId="4" fillId="0" borderId="0" xfId="0" applyNumberFormat="1" applyFont="1"/>
    <xf numFmtId="0" fontId="1" fillId="0" borderId="0" xfId="0" applyFont="1"/>
    <xf numFmtId="0" fontId="3" fillId="0" borderId="0" xfId="0" applyFont="1" applyAlignment="1">
      <alignment horizontal="right"/>
    </xf>
    <xf numFmtId="4" fontId="3" fillId="0" borderId="1" xfId="0" applyNumberFormat="1" applyFont="1" applyBorder="1"/>
    <xf numFmtId="0" fontId="0" fillId="2" borderId="0" xfId="0" applyFill="1" applyAlignment="1">
      <alignment horizontal="center"/>
    </xf>
    <xf numFmtId="49" fontId="0" fillId="2" borderId="0" xfId="0" applyNumberFormat="1" applyFill="1" applyAlignment="1">
      <alignment horizontal="center"/>
    </xf>
    <xf numFmtId="4" fontId="0" fillId="2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/>
    <xf numFmtId="49" fontId="0" fillId="3" borderId="0" xfId="0" applyNumberFormat="1" applyFill="1"/>
    <xf numFmtId="4" fontId="0" fillId="3" borderId="0" xfId="0" applyNumberFormat="1" applyFill="1"/>
    <xf numFmtId="4" fontId="0" fillId="0" borderId="0" xfId="0" applyNumberFormat="1"/>
    <xf numFmtId="0" fontId="1" fillId="0" borderId="0" xfId="0" applyFont="1" applyAlignment="1">
      <alignment horizontal="right"/>
    </xf>
    <xf numFmtId="16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0" fontId="5" fillId="4" borderId="0" xfId="0" applyFont="1" applyFill="1" applyAlignment="1">
      <alignment horizontal="center" vertical="center" wrapText="1"/>
    </xf>
    <xf numFmtId="0" fontId="6" fillId="0" borderId="2" xfId="0" applyFont="1" applyBorder="1"/>
    <xf numFmtId="164" fontId="6" fillId="0" borderId="2" xfId="0" applyNumberFormat="1" applyFont="1" applyBorder="1"/>
    <xf numFmtId="4" fontId="6" fillId="0" borderId="2" xfId="0" applyNumberFormat="1" applyFont="1" applyBorder="1"/>
    <xf numFmtId="0" fontId="6" fillId="5" borderId="2" xfId="0" applyFont="1" applyFill="1" applyBorder="1"/>
    <xf numFmtId="4" fontId="6" fillId="5" borderId="2" xfId="0" applyNumberFormat="1" applyFont="1" applyFill="1" applyBorder="1"/>
  </cellXfs>
  <cellStyles count="1">
    <cellStyle name="Normal" xfId="0" builtinId="0"/>
  </cellStyles>
  <dxfs count="7">
    <dxf>
      <numFmt numFmtId="4" formatCode="#,##0.00"/>
      <fill>
        <patternFill patternType="solid">
          <fgColor indexed="64"/>
          <bgColor rgb="FF00B050"/>
        </patternFill>
      </fill>
    </dxf>
    <dxf>
      <numFmt numFmtId="4" formatCode="#,##0.00"/>
      <fill>
        <patternFill patternType="solid">
          <fgColor indexed="64"/>
          <bgColor rgb="FF00B050"/>
        </patternFill>
      </fill>
    </dxf>
    <dxf>
      <numFmt numFmtId="4" formatCode="#,##0.00"/>
      <fill>
        <patternFill patternType="solid">
          <fgColor indexed="64"/>
          <bgColor rgb="FF00B050"/>
        </patternFill>
      </fill>
    </dxf>
    <dxf>
      <numFmt numFmtId="4" formatCode="#,##0.00"/>
    </dxf>
    <dxf>
      <numFmt numFmtId="0" formatCode="General"/>
      <fill>
        <patternFill patternType="solid">
          <fgColor indexed="64"/>
          <bgColor theme="0" tint="-0.14999847407452621"/>
        </patternFill>
      </fill>
    </dxf>
    <dxf>
      <numFmt numFmtId="30" formatCode="@"/>
    </dxf>
    <dxf>
      <fill>
        <patternFill patternType="solid">
          <fgColor indexed="64"/>
          <bgColor rgb="FFC00000"/>
        </patternFill>
      </fill>
      <alignment horizontal="center" vertical="botto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diario" displayName="tdiario" ref="A5:J6" insertRow="1" totalsRowShown="0" headerRowDxfId="6">
  <tableColumns count="10">
    <tableColumn id="1" xr3:uid="{00000000-0010-0000-0000-000001000000}" name="NRO"/>
    <tableColumn id="2" xr3:uid="{00000000-0010-0000-0000-000002000000}" name="FECHA"/>
    <tableColumn id="3" xr3:uid="{00000000-0010-0000-0000-000003000000}" name="GLOSA"/>
    <tableColumn id="4" xr3:uid="{00000000-0010-0000-0000-000004000000}" name="OBS"/>
    <tableColumn id="5" xr3:uid="{00000000-0010-0000-0000-000005000000}" name="CUENTA" dataDxfId="5"/>
    <tableColumn id="6" xr3:uid="{00000000-0010-0000-0000-000006000000}" name="DETALLE" dataDxfId="4"/>
    <tableColumn id="7" xr3:uid="{00000000-0010-0000-0000-000007000000}" name="DEBE" dataDxfId="3"/>
    <tableColumn id="8" xr3:uid="{00000000-0010-0000-0000-000008000000}" name="HABER" dataDxfId="2"/>
    <tableColumn id="9" xr3:uid="{00000000-0010-0000-0000-000009000000}" name="CLIENTE/PROVEEDOR" dataDxfId="1"/>
    <tableColumn id="10" xr3:uid="{00000000-0010-0000-0000-00000A000000}" name="NRO. DOCUMENTO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17"/>
  <sheetViews>
    <sheetView showGridLines="0" tabSelected="1" workbookViewId="0">
      <selection activeCell="F13" sqref="F13"/>
    </sheetView>
  </sheetViews>
  <sheetFormatPr baseColWidth="10" defaultRowHeight="15" x14ac:dyDescent="0.25"/>
  <cols>
    <col min="1" max="1" width="6" customWidth="1"/>
    <col min="2" max="2" width="12" customWidth="1"/>
    <col min="3" max="3" width="35" customWidth="1"/>
    <col min="4" max="4" width="20" customWidth="1"/>
    <col min="5" max="5" width="12" style="2" customWidth="1"/>
    <col min="6" max="6" width="77.85546875" bestFit="1" customWidth="1"/>
    <col min="7" max="7" width="14" style="15" customWidth="1"/>
    <col min="8" max="8" width="14" customWidth="1"/>
    <col min="9" max="9" width="49.7109375" bestFit="1" customWidth="1"/>
    <col min="10" max="10" width="22" bestFit="1" customWidth="1"/>
  </cols>
  <sheetData>
    <row r="2" spans="1:10" ht="21" customHeight="1" x14ac:dyDescent="0.35">
      <c r="C2" s="1" t="s">
        <v>28</v>
      </c>
      <c r="G2" s="3" t="s">
        <v>29</v>
      </c>
      <c r="H2" s="4">
        <f>G3-H3</f>
        <v>0</v>
      </c>
    </row>
    <row r="3" spans="1:10" x14ac:dyDescent="0.25">
      <c r="C3" s="16" t="s">
        <v>30</v>
      </c>
      <c r="D3" s="5"/>
      <c r="F3" s="6" t="s">
        <v>31</v>
      </c>
      <c r="G3" s="7">
        <f>SUM(G6:G19)</f>
        <v>3255.7</v>
      </c>
      <c r="H3" s="7">
        <f>SUM(H6:H19)</f>
        <v>3255.7</v>
      </c>
    </row>
    <row r="5" spans="1:10" s="11" customFormat="1" x14ac:dyDescent="0.25">
      <c r="A5" s="8" t="s">
        <v>32</v>
      </c>
      <c r="B5" s="8" t="s">
        <v>33</v>
      </c>
      <c r="C5" s="8" t="s">
        <v>34</v>
      </c>
      <c r="D5" s="8" t="s">
        <v>35</v>
      </c>
      <c r="E5" s="9" t="s">
        <v>36</v>
      </c>
      <c r="F5" s="8" t="s">
        <v>37</v>
      </c>
      <c r="G5" s="10" t="s">
        <v>38</v>
      </c>
      <c r="H5" s="10" t="s">
        <v>39</v>
      </c>
      <c r="I5" s="8" t="s">
        <v>40</v>
      </c>
      <c r="J5" s="8" t="s">
        <v>41</v>
      </c>
    </row>
    <row r="6" spans="1:10" x14ac:dyDescent="0.25">
      <c r="A6" s="12"/>
      <c r="B6" s="12"/>
      <c r="C6" s="12"/>
      <c r="D6" s="12"/>
      <c r="E6" s="13"/>
      <c r="F6" s="12"/>
      <c r="G6" s="14"/>
      <c r="H6" s="14"/>
      <c r="I6" s="14"/>
      <c r="J6" s="14"/>
    </row>
    <row r="7" spans="1:10" x14ac:dyDescent="0.25">
      <c r="A7" s="11">
        <v>1</v>
      </c>
      <c r="B7" s="17">
        <v>46007</v>
      </c>
      <c r="C7" s="11" t="s">
        <v>42</v>
      </c>
      <c r="D7" s="11"/>
      <c r="E7" s="18" t="s">
        <v>43</v>
      </c>
      <c r="F7" s="11" t="s">
        <v>44</v>
      </c>
      <c r="G7" s="19">
        <v>924</v>
      </c>
      <c r="H7" s="19"/>
      <c r="I7" s="11" t="s">
        <v>20</v>
      </c>
      <c r="J7" s="11" t="s">
        <v>21</v>
      </c>
    </row>
    <row r="8" spans="1:10" x14ac:dyDescent="0.25">
      <c r="A8" s="11">
        <v>1</v>
      </c>
      <c r="B8" s="17">
        <v>46007</v>
      </c>
      <c r="C8" s="11" t="s">
        <v>42</v>
      </c>
      <c r="D8" s="11"/>
      <c r="E8" s="18" t="s">
        <v>45</v>
      </c>
      <c r="F8" s="11" t="s">
        <v>46</v>
      </c>
      <c r="G8" s="19"/>
      <c r="H8" s="19">
        <v>140.94999999999999</v>
      </c>
      <c r="I8" s="11" t="s">
        <v>20</v>
      </c>
      <c r="J8" s="11" t="s">
        <v>21</v>
      </c>
    </row>
    <row r="9" spans="1:10" x14ac:dyDescent="0.25">
      <c r="A9" s="11">
        <v>1</v>
      </c>
      <c r="B9" s="17">
        <v>46007</v>
      </c>
      <c r="C9" s="11" t="s">
        <v>42</v>
      </c>
      <c r="D9" s="11"/>
      <c r="E9" s="18" t="s">
        <v>47</v>
      </c>
      <c r="F9" s="11" t="s">
        <v>48</v>
      </c>
      <c r="G9" s="19"/>
      <c r="H9" s="19">
        <v>783.05</v>
      </c>
      <c r="I9" s="11" t="s">
        <v>20</v>
      </c>
      <c r="J9" s="11" t="s">
        <v>21</v>
      </c>
    </row>
    <row r="11" spans="1:10" x14ac:dyDescent="0.25">
      <c r="A11" s="11">
        <v>2</v>
      </c>
      <c r="B11" s="17">
        <v>46008</v>
      </c>
      <c r="C11" s="11" t="s">
        <v>49</v>
      </c>
      <c r="D11" s="11"/>
      <c r="E11" s="18" t="s">
        <v>43</v>
      </c>
      <c r="F11" s="11" t="s">
        <v>44</v>
      </c>
      <c r="G11" s="19">
        <v>1068</v>
      </c>
      <c r="H11" s="19"/>
      <c r="I11" s="11" t="s">
        <v>20</v>
      </c>
      <c r="J11" s="11" t="s">
        <v>25</v>
      </c>
    </row>
    <row r="12" spans="1:10" x14ac:dyDescent="0.25">
      <c r="A12" s="11">
        <v>2</v>
      </c>
      <c r="B12" s="17">
        <v>46008</v>
      </c>
      <c r="C12" s="11" t="s">
        <v>49</v>
      </c>
      <c r="D12" s="11"/>
      <c r="E12" s="18" t="s">
        <v>45</v>
      </c>
      <c r="F12" s="11" t="s">
        <v>46</v>
      </c>
      <c r="G12" s="19"/>
      <c r="H12" s="19">
        <v>162.91999999999999</v>
      </c>
      <c r="I12" s="11" t="s">
        <v>20</v>
      </c>
      <c r="J12" s="11" t="s">
        <v>25</v>
      </c>
    </row>
    <row r="13" spans="1:10" x14ac:dyDescent="0.25">
      <c r="A13" s="11">
        <v>2</v>
      </c>
      <c r="B13" s="17">
        <v>46008</v>
      </c>
      <c r="C13" s="11" t="s">
        <v>49</v>
      </c>
      <c r="D13" s="11"/>
      <c r="E13" s="18" t="s">
        <v>47</v>
      </c>
      <c r="F13" s="11" t="s">
        <v>48</v>
      </c>
      <c r="G13" s="19"/>
      <c r="H13" s="19">
        <v>905.08</v>
      </c>
      <c r="I13" s="11" t="s">
        <v>20</v>
      </c>
      <c r="J13" s="11" t="s">
        <v>25</v>
      </c>
    </row>
    <row r="15" spans="1:10" x14ac:dyDescent="0.25">
      <c r="A15" s="11">
        <v>3</v>
      </c>
      <c r="B15" s="17">
        <v>46009</v>
      </c>
      <c r="C15" s="11" t="s">
        <v>50</v>
      </c>
      <c r="D15" s="11"/>
      <c r="E15" s="18" t="s">
        <v>43</v>
      </c>
      <c r="F15" s="11" t="s">
        <v>44</v>
      </c>
      <c r="G15" s="19">
        <v>1263.7</v>
      </c>
      <c r="H15" s="19"/>
      <c r="I15" s="11" t="s">
        <v>20</v>
      </c>
      <c r="J15" s="11" t="s">
        <v>27</v>
      </c>
    </row>
    <row r="16" spans="1:10" x14ac:dyDescent="0.25">
      <c r="A16" s="11">
        <v>3</v>
      </c>
      <c r="B16" s="17">
        <v>46009</v>
      </c>
      <c r="C16" s="11" t="s">
        <v>50</v>
      </c>
      <c r="D16" s="11"/>
      <c r="E16" s="18" t="s">
        <v>45</v>
      </c>
      <c r="F16" s="11" t="s">
        <v>46</v>
      </c>
      <c r="G16" s="19"/>
      <c r="H16" s="19">
        <v>192.77</v>
      </c>
      <c r="I16" s="11" t="s">
        <v>20</v>
      </c>
      <c r="J16" s="11" t="s">
        <v>27</v>
      </c>
    </row>
    <row r="17" spans="1:10" x14ac:dyDescent="0.25">
      <c r="A17" s="11">
        <v>3</v>
      </c>
      <c r="B17" s="17">
        <v>46009</v>
      </c>
      <c r="C17" s="11" t="s">
        <v>50</v>
      </c>
      <c r="D17" s="11"/>
      <c r="E17" s="18" t="s">
        <v>47</v>
      </c>
      <c r="F17" s="11" t="s">
        <v>48</v>
      </c>
      <c r="G17" s="19"/>
      <c r="H17" s="19">
        <v>1070.93</v>
      </c>
      <c r="I17" s="11" t="s">
        <v>20</v>
      </c>
      <c r="J17" s="11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"/>
  <sheetViews>
    <sheetView workbookViewId="0">
      <selection activeCell="A3" sqref="A3"/>
    </sheetView>
  </sheetViews>
  <sheetFormatPr baseColWidth="10" defaultColWidth="9.140625" defaultRowHeight="15" x14ac:dyDescent="0.25"/>
  <cols>
    <col min="1" max="3" width="14" customWidth="1"/>
    <col min="4" max="4" width="35" customWidth="1"/>
    <col min="5" max="5" width="20" customWidth="1"/>
    <col min="6" max="6" width="45" customWidth="1"/>
    <col min="7" max="7" width="14" customWidth="1"/>
    <col min="8" max="8" width="12" customWidth="1"/>
    <col min="9" max="9" width="14" customWidth="1"/>
    <col min="10" max="10" width="8" customWidth="1"/>
    <col min="11" max="12" width="16" customWidth="1"/>
    <col min="13" max="16" width="14" customWidth="1"/>
    <col min="17" max="17" width="16" customWidth="1"/>
    <col min="18" max="18" width="20" customWidth="1"/>
  </cols>
  <sheetData>
    <row r="1" spans="1:18" ht="30" customHeight="1" x14ac:dyDescent="0.2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</row>
    <row r="2" spans="1:18" x14ac:dyDescent="0.25">
      <c r="A2" s="21" t="s">
        <v>18</v>
      </c>
      <c r="B2" s="22">
        <v>46007</v>
      </c>
      <c r="C2" s="21" t="s">
        <v>19</v>
      </c>
      <c r="D2" s="21" t="s">
        <v>20</v>
      </c>
      <c r="E2" s="21" t="s">
        <v>21</v>
      </c>
      <c r="F2" s="21" t="s">
        <v>22</v>
      </c>
      <c r="G2" s="23">
        <v>782.99</v>
      </c>
      <c r="H2" s="23">
        <v>140.94</v>
      </c>
      <c r="I2" s="23">
        <v>924</v>
      </c>
      <c r="J2" s="21" t="s">
        <v>23</v>
      </c>
      <c r="K2" s="21" t="s">
        <v>24</v>
      </c>
      <c r="L2" s="23">
        <v>0</v>
      </c>
      <c r="M2" s="24"/>
      <c r="N2" s="24"/>
      <c r="O2" s="24"/>
      <c r="P2" s="25"/>
      <c r="Q2" s="24"/>
      <c r="R2" s="24"/>
    </row>
    <row r="3" spans="1:18" x14ac:dyDescent="0.25">
      <c r="A3" s="21" t="s">
        <v>18</v>
      </c>
      <c r="B3" s="22">
        <v>46008</v>
      </c>
      <c r="C3" s="21" t="s">
        <v>19</v>
      </c>
      <c r="D3" s="21" t="s">
        <v>20</v>
      </c>
      <c r="E3" s="21" t="s">
        <v>25</v>
      </c>
      <c r="F3" s="21" t="s">
        <v>26</v>
      </c>
      <c r="G3" s="23">
        <v>905.01</v>
      </c>
      <c r="H3" s="23">
        <v>162.9</v>
      </c>
      <c r="I3" s="23">
        <v>1068</v>
      </c>
      <c r="J3" s="21" t="s">
        <v>23</v>
      </c>
      <c r="K3" s="21" t="s">
        <v>24</v>
      </c>
      <c r="L3" s="23">
        <v>0</v>
      </c>
      <c r="M3" s="24"/>
      <c r="N3" s="24"/>
      <c r="O3" s="24"/>
      <c r="P3" s="25"/>
      <c r="Q3" s="24"/>
      <c r="R3" s="24"/>
    </row>
    <row r="4" spans="1:18" x14ac:dyDescent="0.25">
      <c r="A4" s="21" t="s">
        <v>18</v>
      </c>
      <c r="B4" s="22">
        <v>46009</v>
      </c>
      <c r="C4" s="21" t="s">
        <v>19</v>
      </c>
      <c r="D4" s="21" t="s">
        <v>20</v>
      </c>
      <c r="E4" s="21" t="s">
        <v>27</v>
      </c>
      <c r="F4" s="21" t="s">
        <v>26</v>
      </c>
      <c r="G4" s="23">
        <v>1070.9100000000001</v>
      </c>
      <c r="H4" s="23">
        <v>192.76</v>
      </c>
      <c r="I4" s="23">
        <v>1263.7</v>
      </c>
      <c r="J4" s="21" t="s">
        <v>23</v>
      </c>
      <c r="K4" s="21" t="s">
        <v>24</v>
      </c>
      <c r="L4" s="23">
        <v>0</v>
      </c>
      <c r="M4" s="24"/>
      <c r="N4" s="24"/>
      <c r="O4" s="24"/>
      <c r="P4" s="25"/>
      <c r="Q4" s="24"/>
      <c r="R4" s="2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Libro_diario</vt:lpstr>
      <vt:lpstr>Control_Facturas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TORRES</dc:creator>
  <cp:lastModifiedBy>gabriel untiveros untiveros</cp:lastModifiedBy>
  <dcterms:created xsi:type="dcterms:W3CDTF">2026-05-27T23:20:15Z</dcterms:created>
  <dcterms:modified xsi:type="dcterms:W3CDTF">2026-07-07T20:24:26Z</dcterms:modified>
</cp:coreProperties>
</file>