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Libro_diario" sheetId="1" state="visible" r:id="rId1"/>
    <sheet name="Control_Factur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 tint="0.0499893185216834"/>
      <sz val="11"/>
      <scheme val="minor"/>
    </font>
    <font>
      <name val="Aptos Narrow"/>
      <family val="2"/>
      <b val="1"/>
      <color rgb="FFFF0000"/>
      <sz val="12"/>
      <scheme val="minor"/>
    </font>
    <font>
      <name val="Calibri"/>
      <b val="1"/>
      <color rgb="00C9A227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000A1A3F"/>
        <bgColor rgb="000A1A3F"/>
      </patternFill>
    </fill>
    <fill>
      <patternFill patternType="solid">
        <fgColor rgb="00FFF9C4"/>
        <bgColor rgb="00FFF9C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49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  <xf numFmtId="0" fontId="6" fillId="5" borderId="2" pivotButton="0" quotePrefix="0" xfId="0"/>
    <xf numFmtId="4" fontId="6" fillId="5" borderId="2" pivotButton="0" quotePrefix="0" xfId="0"/>
    <xf numFmtId="164" fontId="0" fillId="0" borderId="0" applyAlignment="1" pivotButton="0" quotePrefix="0" xfId="0">
      <alignment horizontal="center"/>
    </xf>
    <xf numFmtId="164" fontId="6" fillId="0" borderId="2" pivotButton="0" quotePrefix="0" xfId="0"/>
  </cellXfs>
  <cellStyles count="1">
    <cellStyle name="Normal" xfId="0" builtinId="0"/>
  </cellStyles>
  <dxfs count="7"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</dxf>
    <dxf>
      <numFmt numFmtId="0" formatCode="General"/>
      <fill>
        <patternFill patternType="solid">
          <fgColor indexed="64"/>
          <bgColor theme="0" tint="-0.1499984740745262"/>
        </patternFill>
      </fill>
    </dxf>
    <dxf>
      <numFmt numFmtId="30" formatCode="@"/>
    </dxf>
    <dxf>
      <fill>
        <patternFill patternType="solid">
          <fgColor indexed="64"/>
          <bgColor rgb="FFC00000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diario" displayName="tdiario" ref="A5:J6" headerRowCount="1" insertRow="1" totalsRowShown="0" headerRowDxfId="6">
  <tableColumns count="10">
    <tableColumn id="1" name="NRO"/>
    <tableColumn id="2" name="FECHA"/>
    <tableColumn id="3" name="GLOSA"/>
    <tableColumn id="4" name="OBS"/>
    <tableColumn id="5" name="CUENTA" dataDxfId="5"/>
    <tableColumn id="6" name="DETALLE" dataDxfId="4"/>
    <tableColumn id="7" name="DEBE" dataDxfId="3"/>
    <tableColumn id="8" name="HABER" dataDxfId="2"/>
    <tableColumn id="9" name="CLIENTE/PROVEEDOR" dataDxfId="1"/>
    <tableColumn id="10" name="NRO. DOCUMENT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7"/>
  <sheetViews>
    <sheetView showGridLines="0" workbookViewId="0">
      <selection activeCell="A5" sqref="A5"/>
    </sheetView>
  </sheetViews>
  <sheetFormatPr baseColWidth="10" defaultRowHeight="15"/>
  <cols>
    <col width="6" customWidth="1" min="1" max="1"/>
    <col width="12" customWidth="1" min="2" max="2"/>
    <col width="35" customWidth="1" min="3" max="3"/>
    <col width="20" customWidth="1" min="4" max="4"/>
    <col width="12" customWidth="1" style="2" min="5" max="5"/>
    <col width="55" customWidth="1" min="6" max="6"/>
    <col width="14" customWidth="1" style="15" min="7" max="8"/>
    <col width="14" customWidth="1" min="8" max="8"/>
    <col width="35" bestFit="1" customWidth="1" min="9" max="9"/>
    <col width="22" bestFit="1" customWidth="1" min="10" max="10"/>
  </cols>
  <sheetData>
    <row r="2" ht="21" customHeight="1">
      <c r="C2" s="1" t="inlineStr">
        <is>
          <t>LIBRO DIARIO - CONTACTO CREATIVO TI S.A.C.</t>
        </is>
      </c>
      <c r="G2" s="3" t="inlineStr">
        <is>
          <t>DIFERENCIAS</t>
        </is>
      </c>
      <c r="H2" s="4">
        <f>G3-H3</f>
        <v/>
      </c>
    </row>
    <row r="3">
      <c r="C3" s="16" t="inlineStr">
        <is>
          <t>RUC</t>
        </is>
      </c>
      <c r="D3" s="5" t="n">
        <v>20608899473</v>
      </c>
      <c r="F3" s="6" t="inlineStr">
        <is>
          <t>TOTALES</t>
        </is>
      </c>
      <c r="G3" s="7">
        <f>SUM(G6:G19)</f>
        <v/>
      </c>
      <c r="H3" s="7">
        <f>SUM(H6:H19)</f>
        <v/>
      </c>
    </row>
    <row r="5" customFormat="1" s="11">
      <c r="A5" s="8" t="inlineStr">
        <is>
          <t>NRO</t>
        </is>
      </c>
      <c r="B5" s="8" t="inlineStr">
        <is>
          <t>FECHA</t>
        </is>
      </c>
      <c r="C5" s="8" t="inlineStr">
        <is>
          <t>GLOSA</t>
        </is>
      </c>
      <c r="D5" s="8" t="inlineStr">
        <is>
          <t>OBS</t>
        </is>
      </c>
      <c r="E5" s="9" t="inlineStr">
        <is>
          <t>CUENTA</t>
        </is>
      </c>
      <c r="F5" s="8" t="inlineStr">
        <is>
          <t>DETALLE</t>
        </is>
      </c>
      <c r="G5" s="10" t="inlineStr">
        <is>
          <t>DEBE</t>
        </is>
      </c>
      <c r="H5" s="10" t="inlineStr">
        <is>
          <t>HABER</t>
        </is>
      </c>
      <c r="I5" s="8" t="inlineStr">
        <is>
          <t>CLIENTE/PROVEEDOR</t>
        </is>
      </c>
      <c r="J5" s="8" t="inlineStr">
        <is>
          <t>NRO. DOCUMENTO</t>
        </is>
      </c>
    </row>
    <row r="6">
      <c r="A6" s="12" t="n"/>
      <c r="B6" s="12" t="n"/>
      <c r="C6" s="12" t="n"/>
      <c r="D6" s="12" t="n"/>
      <c r="E6" s="13" t="n"/>
      <c r="F6" s="12" t="n"/>
      <c r="G6" s="14" t="n"/>
      <c r="H6" s="14" t="n"/>
      <c r="I6" s="14" t="n"/>
      <c r="J6" s="14" t="n"/>
    </row>
    <row r="7">
      <c r="A7" s="11" t="n">
        <v>1</v>
      </c>
      <c r="B7" s="26" t="n">
        <v>45708</v>
      </c>
      <c r="C7" s="11" t="inlineStr">
        <is>
          <t>Reg. Ventas E001-00000030</t>
        </is>
      </c>
      <c r="D7" s="11" t="n"/>
      <c r="E7" s="18" t="inlineStr">
        <is>
          <t>12121</t>
        </is>
      </c>
      <c r="F7" s="11" t="inlineStr">
        <is>
          <t>EMITIDAS EN CARTERA - Facturas, Boletas y Otros Comprobantes Por Cobrar - Terceros</t>
        </is>
      </c>
      <c r="G7" s="19" t="n">
        <v>8850</v>
      </c>
      <c r="H7" s="19" t="n"/>
      <c r="I7" s="11" t="inlineStr">
        <is>
          <t>120 RES. CALLE JORGE</t>
        </is>
      </c>
      <c r="J7" s="11" t="inlineStr">
        <is>
          <t>E001-00000030</t>
        </is>
      </c>
    </row>
    <row r="8">
      <c r="A8" s="11" t="n">
        <v>1</v>
      </c>
      <c r="B8" s="26" t="n">
        <v>45708</v>
      </c>
      <c r="C8" s="11" t="inlineStr">
        <is>
          <t>Reg. Ventas E001-00000030</t>
        </is>
      </c>
      <c r="D8" s="11" t="n"/>
      <c r="E8" s="18" t="inlineStr">
        <is>
          <t>40111</t>
        </is>
      </c>
      <c r="F8" s="11" t="inlineStr">
        <is>
          <t>IGV - CUENTA PROPIA - Por Pagar - Gobierno Central</t>
        </is>
      </c>
      <c r="G8" s="19" t="n"/>
      <c r="H8" s="19" t="n">
        <v>1350</v>
      </c>
      <c r="I8" s="11" t="inlineStr">
        <is>
          <t>120 RES. CALLE JORGE</t>
        </is>
      </c>
      <c r="J8" s="11" t="inlineStr">
        <is>
          <t>E001-00000030</t>
        </is>
      </c>
    </row>
    <row r="9">
      <c r="A9" s="11" t="n">
        <v>1</v>
      </c>
      <c r="B9" s="26" t="n">
        <v>45708</v>
      </c>
      <c r="C9" s="11" t="inlineStr">
        <is>
          <t>Reg. Ventas E001-00000030</t>
        </is>
      </c>
      <c r="D9" s="11" t="n"/>
      <c r="E9" s="18" t="inlineStr">
        <is>
          <t>7041</t>
        </is>
      </c>
      <c r="F9" s="11" t="inlineStr">
        <is>
          <t>TERCEROS - Prestacion De Servicios - Ventas</t>
        </is>
      </c>
      <c r="G9" s="19" t="n"/>
      <c r="H9" s="19" t="n">
        <v>7500</v>
      </c>
      <c r="I9" s="11" t="inlineStr">
        <is>
          <t>120 RES. CALLE JORGE</t>
        </is>
      </c>
      <c r="J9" s="11" t="inlineStr">
        <is>
          <t>E001-00000030</t>
        </is>
      </c>
    </row>
    <row r="11">
      <c r="A11" s="11" t="n">
        <v>2</v>
      </c>
      <c r="B11" s="26" t="n">
        <v>45713</v>
      </c>
      <c r="C11" s="11" t="inlineStr">
        <is>
          <t>Reg. Ventas E001-00000031</t>
        </is>
      </c>
      <c r="D11" s="11" t="n"/>
      <c r="E11" s="18" t="inlineStr">
        <is>
          <t>12121</t>
        </is>
      </c>
      <c r="F11" s="11" t="inlineStr">
        <is>
          <t>EMITIDAS EN CARTERA - Facturas, Boletas y Otros Comprobantes Por Cobrar - Terceros</t>
        </is>
      </c>
      <c r="G11" s="19" t="n">
        <v>1770</v>
      </c>
      <c r="H11" s="19" t="n"/>
      <c r="I11" s="11" t="inlineStr">
        <is>
          <t>MEDIA SOLUTION E.I.R.L.</t>
        </is>
      </c>
      <c r="J11" s="11" t="inlineStr">
        <is>
          <t>E001-00000031</t>
        </is>
      </c>
    </row>
    <row r="12">
      <c r="A12" s="11" t="n">
        <v>2</v>
      </c>
      <c r="B12" s="26" t="n">
        <v>45713</v>
      </c>
      <c r="C12" s="11" t="inlineStr">
        <is>
          <t>Reg. Ventas E001-00000031</t>
        </is>
      </c>
      <c r="D12" s="11" t="n"/>
      <c r="E12" s="18" t="inlineStr">
        <is>
          <t>40111</t>
        </is>
      </c>
      <c r="F12" s="11" t="inlineStr">
        <is>
          <t>IGV - CUENTA PROPIA - Por Pagar - Gobierno Central</t>
        </is>
      </c>
      <c r="G12" s="19" t="n"/>
      <c r="H12" s="19" t="n">
        <v>270</v>
      </c>
      <c r="I12" s="11" t="inlineStr">
        <is>
          <t>MEDIA SOLUTION E.I.R.L.</t>
        </is>
      </c>
      <c r="J12" s="11" t="inlineStr">
        <is>
          <t>E001-00000031</t>
        </is>
      </c>
    </row>
    <row r="13">
      <c r="A13" s="11" t="n">
        <v>2</v>
      </c>
      <c r="B13" s="26" t="n">
        <v>45713</v>
      </c>
      <c r="C13" s="11" t="inlineStr">
        <is>
          <t>Reg. Ventas E001-00000031</t>
        </is>
      </c>
      <c r="D13" s="11" t="n"/>
      <c r="E13" s="18" t="inlineStr">
        <is>
          <t>7041</t>
        </is>
      </c>
      <c r="F13" s="11" t="inlineStr">
        <is>
          <t>TERCEROS - Prestacion De Servicios - Ventas</t>
        </is>
      </c>
      <c r="G13" s="19" t="n"/>
      <c r="H13" s="19" t="n">
        <v>1500</v>
      </c>
      <c r="I13" s="11" t="inlineStr">
        <is>
          <t>MEDIA SOLUTION E.I.R.L.</t>
        </is>
      </c>
      <c r="J13" s="11" t="inlineStr">
        <is>
          <t>E001-00000031</t>
        </is>
      </c>
    </row>
    <row r="15">
      <c r="A15" s="11" t="n">
        <v>3</v>
      </c>
      <c r="B15" s="26" t="n">
        <v>45713</v>
      </c>
      <c r="C15" s="11" t="inlineStr">
        <is>
          <t>NC E001-00000003 ref: E001-30</t>
        </is>
      </c>
      <c r="D15" s="11" t="n"/>
      <c r="E15" s="18" t="inlineStr">
        <is>
          <t>40111</t>
        </is>
      </c>
      <c r="F15" s="11" t="inlineStr">
        <is>
          <t>IGV - CUENTA PROPIA - Por Pagar - Gobierno Central</t>
        </is>
      </c>
      <c r="G15" s="19" t="n">
        <v>1350</v>
      </c>
      <c r="H15" s="19" t="n"/>
      <c r="I15" s="11" t="inlineStr">
        <is>
          <t>MEDIA SOLUTION E.I.R.L.</t>
        </is>
      </c>
      <c r="J15" s="11" t="inlineStr">
        <is>
          <t>E001-00000003</t>
        </is>
      </c>
    </row>
    <row r="16">
      <c r="A16" s="11" t="n">
        <v>3</v>
      </c>
      <c r="B16" s="26" t="n">
        <v>45713</v>
      </c>
      <c r="C16" s="11" t="inlineStr">
        <is>
          <t>NC E001-00000003 ref: E001-30</t>
        </is>
      </c>
      <c r="D16" s="11" t="n"/>
      <c r="E16" s="18" t="inlineStr">
        <is>
          <t>7041</t>
        </is>
      </c>
      <c r="F16" s="11" t="inlineStr">
        <is>
          <t>TERCEROS - Prestacion De Servicios - Ventas</t>
        </is>
      </c>
      <c r="G16" s="19" t="n">
        <v>7500</v>
      </c>
      <c r="H16" s="19" t="n"/>
      <c r="I16" s="11" t="inlineStr">
        <is>
          <t>MEDIA SOLUTION E.I.R.L.</t>
        </is>
      </c>
      <c r="J16" s="11" t="inlineStr">
        <is>
          <t>E001-00000003</t>
        </is>
      </c>
    </row>
    <row r="17">
      <c r="A17" s="11" t="n">
        <v>3</v>
      </c>
      <c r="B17" s="26" t="n">
        <v>45713</v>
      </c>
      <c r="C17" s="11" t="inlineStr">
        <is>
          <t>NC E001-00000003 ref: E001-30</t>
        </is>
      </c>
      <c r="D17" s="11" t="n"/>
      <c r="E17" s="18" t="inlineStr">
        <is>
          <t>12121</t>
        </is>
      </c>
      <c r="F17" s="11" t="inlineStr">
        <is>
          <t>EMITIDAS EN CARTERA - Facturas, Boletas y Otros Comprobantes Por Cobrar - Terceros</t>
        </is>
      </c>
      <c r="G17" s="19" t="n"/>
      <c r="H17" s="19" t="n">
        <v>8850</v>
      </c>
      <c r="I17" s="11" t="inlineStr">
        <is>
          <t>MEDIA SOLUTION E.I.R.L.</t>
        </is>
      </c>
      <c r="J17" s="11" t="inlineStr">
        <is>
          <t>E001-00000003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5" customWidth="1" min="4" max="4"/>
    <col width="20" customWidth="1" min="5" max="5"/>
    <col width="45" customWidth="1" min="6" max="6"/>
    <col width="14" customWidth="1" min="7" max="7"/>
    <col width="12" customWidth="1" min="8" max="8"/>
    <col width="14" customWidth="1" min="9" max="9"/>
    <col width="8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20" customWidth="1" min="18" max="18"/>
  </cols>
  <sheetData>
    <row r="1" ht="30" customHeight="1">
      <c r="A1" s="20" t="inlineStr">
        <is>
          <t>TIPO_OPERACION</t>
        </is>
      </c>
      <c r="B1" s="20" t="inlineStr">
        <is>
          <t>FECHA_EMISION</t>
        </is>
      </c>
      <c r="C1" s="20" t="inlineStr">
        <is>
          <t>RUC_TERCERO</t>
        </is>
      </c>
      <c r="D1" s="20" t="inlineStr">
        <is>
          <t>RAZON_SOCIAL</t>
        </is>
      </c>
      <c r="E1" s="20" t="inlineStr">
        <is>
          <t>NRO_DOCUMENTO</t>
        </is>
      </c>
      <c r="F1" s="20" t="inlineStr">
        <is>
          <t>DESCRIPCION_SERVICIO</t>
        </is>
      </c>
      <c r="G1" s="20" t="inlineStr">
        <is>
          <t>BASE_IMPONIBLE</t>
        </is>
      </c>
      <c r="H1" s="20" t="inlineStr">
        <is>
          <t>IGV</t>
        </is>
      </c>
      <c r="I1" s="20" t="inlineStr">
        <is>
          <t>TOTAL</t>
        </is>
      </c>
      <c r="J1" s="20" t="inlineStr">
        <is>
          <t>MONEDA</t>
        </is>
      </c>
      <c r="K1" s="20" t="inlineStr">
        <is>
          <t>TIENE_DETRACCION</t>
        </is>
      </c>
      <c r="L1" s="20" t="inlineStr">
        <is>
          <t>MONTO_DETRACCION</t>
        </is>
      </c>
      <c r="M1" s="20" t="inlineStr">
        <is>
          <t>ESTADO_PAGO</t>
        </is>
      </c>
      <c r="N1" s="20" t="inlineStr">
        <is>
          <t>FECHA_VCTO</t>
        </is>
      </c>
      <c r="O1" s="20" t="inlineStr">
        <is>
          <t>BANCO</t>
        </is>
      </c>
      <c r="P1" s="20" t="inlineStr">
        <is>
          <t>MONTO_PAGADO</t>
        </is>
      </c>
      <c r="Q1" s="20" t="inlineStr">
        <is>
          <t>NRO_OPERACION</t>
        </is>
      </c>
      <c r="R1" s="20" t="inlineStr">
        <is>
          <t>OBSERVACIONES</t>
        </is>
      </c>
    </row>
    <row r="2">
      <c r="A2" s="21" t="inlineStr">
        <is>
          <t>VENTA</t>
        </is>
      </c>
      <c r="B2" s="27" t="n">
        <v>45708</v>
      </c>
      <c r="C2" s="21" t="inlineStr">
        <is>
          <t>20613742825</t>
        </is>
      </c>
      <c r="D2" s="21" t="inlineStr">
        <is>
          <t>120 RES. CALLE JORGE</t>
        </is>
      </c>
      <c r="E2" s="21" t="inlineStr">
        <is>
          <t>E001-00000030</t>
        </is>
      </c>
      <c r="F2" s="21" t="inlineStr">
        <is>
          <t>DESARROLLO WEB NOTICIAS EL-MIGRANTE.COM</t>
        </is>
      </c>
      <c r="G2" s="23" t="n">
        <v>6355.93</v>
      </c>
      <c r="H2" s="23" t="n">
        <v>1494.07</v>
      </c>
      <c r="I2" s="23" t="n">
        <v>8850</v>
      </c>
      <c r="J2" s="21" t="inlineStr">
        <is>
          <t>PEN</t>
        </is>
      </c>
      <c r="K2" s="21" t="inlineStr">
        <is>
          <t>SI</t>
        </is>
      </c>
      <c r="L2" s="23" t="n">
        <v>1062</v>
      </c>
      <c r="M2" s="24" t="n"/>
      <c r="N2" s="24" t="n"/>
      <c r="O2" s="24" t="n"/>
      <c r="P2" s="25" t="n"/>
      <c r="Q2" s="24" t="n"/>
      <c r="R2" s="24" t="n"/>
    </row>
    <row r="3">
      <c r="A3" s="21" t="inlineStr">
        <is>
          <t>VENTA</t>
        </is>
      </c>
      <c r="B3" s="27" t="n">
        <v>45713</v>
      </c>
      <c r="C3" s="21" t="inlineStr">
        <is>
          <t>20613742825</t>
        </is>
      </c>
      <c r="D3" s="21" t="inlineStr">
        <is>
          <t>MEDIA SOLUTION E.I.R.L.</t>
        </is>
      </c>
      <c r="E3" s="21" t="inlineStr">
        <is>
          <t>E001-00000031</t>
        </is>
      </c>
      <c r="F3" s="21" t="inlineStr">
        <is>
          <t>DESARROLLO WEB NOTICIAS EL-MIGRANTE.COM 20%</t>
        </is>
      </c>
      <c r="G3" s="23" t="n">
        <v>1500</v>
      </c>
      <c r="H3" s="23" t="n">
        <v>270</v>
      </c>
      <c r="I3" s="23" t="n">
        <v>1770</v>
      </c>
      <c r="J3" s="21" t="inlineStr">
        <is>
          <t>PEN</t>
        </is>
      </c>
      <c r="K3" s="21" t="inlineStr">
        <is>
          <t>SI</t>
        </is>
      </c>
      <c r="L3" s="23" t="n">
        <v>212.4</v>
      </c>
      <c r="M3" s="24" t="n"/>
      <c r="N3" s="24" t="n"/>
      <c r="O3" s="24" t="n"/>
      <c r="P3" s="25" t="n"/>
      <c r="Q3" s="24" t="n"/>
      <c r="R3" s="24" t="n"/>
    </row>
    <row r="4">
      <c r="A4" s="21" t="inlineStr">
        <is>
          <t>VENTA</t>
        </is>
      </c>
      <c r="B4" s="27" t="n">
        <v>45713</v>
      </c>
      <c r="C4" s="21" t="inlineStr">
        <is>
          <t>20613742825</t>
        </is>
      </c>
      <c r="D4" s="21" t="inlineStr">
        <is>
          <t>MEDIA SOLUTION E.I.R.L.</t>
        </is>
      </c>
      <c r="E4" s="21" t="inlineStr">
        <is>
          <t>E001-00000003</t>
        </is>
      </c>
      <c r="F4" s="21" t="inlineStr">
        <is>
          <t>DESARROLLO WEB NOTICIAS EL-MIGRANTE.COM</t>
        </is>
      </c>
      <c r="G4" s="23" t="n">
        <v>7500</v>
      </c>
      <c r="H4" s="23" t="n">
        <v>1350</v>
      </c>
      <c r="I4" s="23" t="n">
        <v>8850</v>
      </c>
      <c r="J4" s="21" t="inlineStr">
        <is>
          <t>PEN</t>
        </is>
      </c>
      <c r="K4" s="21" t="inlineStr">
        <is>
          <t>NO</t>
        </is>
      </c>
      <c r="L4" s="23" t="n">
        <v>0</v>
      </c>
      <c r="M4" s="24" t="n"/>
      <c r="N4" s="24" t="n"/>
      <c r="O4" s="24" t="n"/>
      <c r="P4" s="25" t="n"/>
      <c r="Q4" s="24" t="n"/>
      <c r="R4" s="24" t="inlineStr">
        <is>
          <t>Ref: E001-30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TORRES</dc:creator>
  <dcterms:created xsi:type="dcterms:W3CDTF">2026-05-27T23:20:15Z</dcterms:created>
  <dcterms:modified xsi:type="dcterms:W3CDTF">2026-07-09T21:17:37Z</dcterms:modified>
  <cp:lastModifiedBy>gabriel untiveros untiveros</cp:lastModifiedBy>
</cp:coreProperties>
</file>