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FACTURAS_PROVEEDORES\"/>
    </mc:Choice>
  </mc:AlternateContent>
  <xr:revisionPtr revIDLastSave="0" documentId="13_ncr:1_{0D77D75A-03C5-49FB-8006-CC18DF5777BE}" xr6:coauthVersionLast="47" xr6:coauthVersionMax="47" xr10:uidLastSave="{00000000-0000-0000-0000-000000000000}"/>
  <bookViews>
    <workbookView xWindow="-28920" yWindow="-120" windowWidth="29040" windowHeight="15720" xr2:uid="{6302DAA1-DF24-41FB-B52F-6F896D60804A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18" i="1" l="1"/>
  <c r="E218" i="1"/>
  <c r="L217" i="1"/>
  <c r="E217" i="1"/>
  <c r="L216" i="1"/>
  <c r="E216" i="1"/>
  <c r="L215" i="1"/>
  <c r="E215" i="1"/>
  <c r="L214" i="1"/>
  <c r="E214" i="1"/>
  <c r="L213" i="1"/>
  <c r="E213" i="1"/>
  <c r="L212" i="1"/>
  <c r="E212" i="1"/>
  <c r="L211" i="1"/>
  <c r="E211" i="1"/>
  <c r="L210" i="1"/>
  <c r="E210" i="1"/>
  <c r="L209" i="1"/>
  <c r="E209" i="1"/>
  <c r="L208" i="1"/>
  <c r="E208" i="1"/>
  <c r="L207" i="1"/>
  <c r="E207" i="1"/>
  <c r="L206" i="1"/>
  <c r="E206" i="1"/>
  <c r="J139" i="1"/>
  <c r="K139" i="1"/>
  <c r="L140" i="1"/>
  <c r="E140" i="1"/>
  <c r="L88" i="1"/>
  <c r="E88" i="1"/>
  <c r="L87" i="1"/>
  <c r="E87" i="1"/>
  <c r="L86" i="1"/>
  <c r="E86" i="1"/>
  <c r="L97" i="1"/>
  <c r="E97" i="1"/>
  <c r="L5" i="1"/>
  <c r="E5" i="1"/>
  <c r="L147" i="1"/>
  <c r="E147" i="1"/>
  <c r="J29" i="1"/>
  <c r="K29" i="1"/>
  <c r="L7" i="1"/>
  <c r="E7" i="1"/>
  <c r="L201" i="1"/>
  <c r="E201" i="1"/>
  <c r="L180" i="1"/>
  <c r="E180" i="1"/>
  <c r="L96" i="1"/>
  <c r="E96" i="1"/>
  <c r="L91" i="1"/>
  <c r="E91" i="1"/>
  <c r="L177" i="1"/>
  <c r="E177" i="1"/>
  <c r="L176" i="1"/>
  <c r="E176" i="1"/>
  <c r="L175" i="1"/>
  <c r="E175" i="1"/>
  <c r="E50" i="1"/>
  <c r="L182" i="1"/>
  <c r="E182" i="1"/>
  <c r="L158" i="1"/>
  <c r="E158" i="1"/>
  <c r="L133" i="1"/>
  <c r="E133" i="1"/>
  <c r="L104" i="1"/>
  <c r="E104" i="1"/>
  <c r="L103" i="1"/>
  <c r="E103" i="1"/>
  <c r="L44" i="1"/>
  <c r="E44" i="1"/>
  <c r="J115" i="1"/>
  <c r="J90" i="1"/>
  <c r="J2" i="1"/>
  <c r="J106" i="1"/>
  <c r="J165" i="1"/>
  <c r="J58" i="1"/>
  <c r="J57" i="1"/>
  <c r="J56" i="1"/>
  <c r="J54" i="1"/>
  <c r="J55" i="1"/>
  <c r="J163" i="1"/>
  <c r="J162" i="1"/>
  <c r="J107" i="1"/>
  <c r="J146" i="1"/>
  <c r="J132" i="1"/>
  <c r="J95" i="1"/>
  <c r="J94" i="1"/>
  <c r="J93" i="1"/>
  <c r="J53" i="1"/>
  <c r="J48" i="1"/>
  <c r="J47" i="1"/>
  <c r="J105" i="1"/>
  <c r="J143" i="1"/>
  <c r="J81" i="1"/>
  <c r="J84" i="1"/>
  <c r="J30" i="1"/>
  <c r="J82" i="1"/>
  <c r="J193" i="1"/>
  <c r="K193" i="1"/>
  <c r="J200" i="1"/>
  <c r="K200" i="1"/>
  <c r="L131" i="1"/>
  <c r="E131" i="1"/>
  <c r="L157" i="1"/>
  <c r="E157" i="1"/>
  <c r="L156" i="1"/>
  <c r="E156" i="1"/>
  <c r="L79" i="1"/>
  <c r="E79" i="1"/>
  <c r="L74" i="1"/>
  <c r="E74" i="1"/>
  <c r="L78" i="1"/>
  <c r="E78" i="1"/>
  <c r="L10" i="1"/>
  <c r="E10" i="1"/>
  <c r="L49" i="1"/>
  <c r="E49" i="1"/>
  <c r="L128" i="1"/>
  <c r="E128" i="1"/>
  <c r="L127" i="1"/>
  <c r="E127" i="1"/>
  <c r="L126" i="1"/>
  <c r="E126" i="1"/>
  <c r="L125" i="1"/>
  <c r="E125" i="1"/>
  <c r="L102" i="1"/>
  <c r="E102" i="1"/>
  <c r="L199" i="1"/>
  <c r="E199" i="1"/>
  <c r="L198" i="1"/>
  <c r="E198" i="1"/>
  <c r="L161" i="1"/>
  <c r="E161" i="1"/>
  <c r="L111" i="1"/>
  <c r="E111" i="1"/>
  <c r="L112" i="1"/>
  <c r="E112" i="1"/>
  <c r="L123" i="1"/>
  <c r="E123" i="1"/>
  <c r="L92" i="1"/>
  <c r="E92" i="1"/>
  <c r="L98" i="1"/>
  <c r="E98" i="1"/>
  <c r="L160" i="1"/>
  <c r="E160" i="1"/>
  <c r="L89" i="1"/>
  <c r="E89" i="1"/>
  <c r="L52" i="1"/>
  <c r="E52" i="1"/>
  <c r="L186" i="1"/>
  <c r="E186" i="1"/>
  <c r="L4" i="1"/>
  <c r="E4" i="1"/>
  <c r="L3" i="1"/>
  <c r="E3" i="1"/>
  <c r="L159" i="1"/>
  <c r="E159" i="1"/>
  <c r="L145" i="1"/>
  <c r="E145" i="1"/>
  <c r="L144" i="1"/>
  <c r="E144" i="1"/>
  <c r="L39" i="1"/>
  <c r="E39" i="1"/>
  <c r="L35" i="1"/>
  <c r="E35" i="1"/>
  <c r="L36" i="1"/>
  <c r="E36" i="1"/>
  <c r="L33" i="1"/>
  <c r="E33" i="1"/>
  <c r="L116" i="1"/>
  <c r="E116" i="1"/>
  <c r="L45" i="1"/>
  <c r="E45" i="1"/>
  <c r="L155" i="1"/>
  <c r="E155" i="1"/>
  <c r="L154" i="1"/>
  <c r="E154" i="1"/>
  <c r="L8" i="1"/>
  <c r="E8" i="1"/>
  <c r="L200" i="1"/>
  <c r="E200" i="1"/>
  <c r="L181" i="1"/>
  <c r="E181" i="1"/>
  <c r="L59" i="1"/>
  <c r="E59" i="1"/>
  <c r="L29" i="1"/>
  <c r="E29" i="1"/>
  <c r="L114" i="1"/>
  <c r="E114" i="1"/>
  <c r="L178" i="1"/>
  <c r="E178" i="1"/>
  <c r="L38" i="1"/>
  <c r="E38" i="1"/>
  <c r="L13" i="1"/>
  <c r="E13" i="1"/>
  <c r="L28" i="1"/>
  <c r="E28" i="1"/>
  <c r="L27" i="1"/>
  <c r="E27" i="1"/>
  <c r="L26" i="1"/>
  <c r="E26" i="1"/>
  <c r="L25" i="1"/>
  <c r="E25" i="1"/>
  <c r="E142" i="1"/>
  <c r="K142" i="1"/>
  <c r="L142" i="1"/>
  <c r="L141" i="1"/>
  <c r="E141" i="1"/>
  <c r="K141" i="1"/>
  <c r="L24" i="1"/>
  <c r="E24" i="1"/>
  <c r="K24" i="1"/>
  <c r="L34" i="1"/>
  <c r="E34" i="1"/>
  <c r="L37" i="1"/>
  <c r="E37" i="1"/>
  <c r="L21" i="1"/>
  <c r="E21" i="1"/>
  <c r="L153" i="1"/>
  <c r="E153" i="1"/>
  <c r="L149" i="1"/>
  <c r="E149" i="1"/>
  <c r="L148" i="1"/>
  <c r="E148" i="1"/>
  <c r="L101" i="1"/>
  <c r="E101" i="1"/>
  <c r="L99" i="1"/>
  <c r="E99" i="1"/>
  <c r="L194" i="1"/>
  <c r="E194" i="1"/>
  <c r="L190" i="1"/>
  <c r="E190" i="1"/>
  <c r="L189" i="1"/>
  <c r="E189" i="1"/>
  <c r="L193" i="1"/>
  <c r="E193" i="1"/>
  <c r="L188" i="1"/>
  <c r="E188" i="1"/>
  <c r="L113" i="1"/>
  <c r="E113" i="1"/>
  <c r="L185" i="1"/>
  <c r="E185" i="1"/>
  <c r="L183" i="1"/>
  <c r="E183" i="1"/>
  <c r="L184" i="1"/>
  <c r="E184" i="1"/>
  <c r="L174" i="1"/>
  <c r="E174" i="1"/>
  <c r="L173" i="1"/>
  <c r="E173" i="1"/>
  <c r="L172" i="1"/>
  <c r="E172" i="1"/>
  <c r="L166" i="1"/>
  <c r="E166" i="1"/>
  <c r="L170" i="1"/>
  <c r="E170" i="1"/>
  <c r="L122" i="1"/>
  <c r="E122" i="1"/>
  <c r="L121" i="1"/>
  <c r="E121" i="1"/>
  <c r="L120" i="1"/>
  <c r="E120" i="1"/>
  <c r="L119" i="1"/>
  <c r="E119" i="1"/>
  <c r="L118" i="1"/>
  <c r="E118" i="1"/>
  <c r="L117" i="1"/>
  <c r="E117" i="1"/>
  <c r="L179" i="1"/>
  <c r="E179" i="1"/>
  <c r="L205" i="1"/>
  <c r="E205" i="1"/>
  <c r="L204" i="1"/>
  <c r="E204" i="1"/>
  <c r="L85" i="1"/>
  <c r="E85" i="1"/>
  <c r="L129" i="1"/>
  <c r="E129" i="1"/>
  <c r="L68" i="1"/>
  <c r="E68" i="1"/>
  <c r="L66" i="1"/>
  <c r="E66" i="1"/>
  <c r="L67" i="1"/>
  <c r="E67" i="1"/>
  <c r="L124" i="1"/>
  <c r="E124" i="1"/>
  <c r="L77" i="1"/>
  <c r="E77" i="1"/>
  <c r="L76" i="1"/>
  <c r="E76" i="1"/>
  <c r="L75" i="1"/>
  <c r="E75" i="1"/>
  <c r="L83" i="1"/>
  <c r="E83" i="1"/>
  <c r="K83" i="1"/>
  <c r="J192" i="1"/>
  <c r="L14" i="1"/>
  <c r="E14" i="1"/>
  <c r="K14" i="1"/>
  <c r="K70" i="1"/>
  <c r="K71" i="1"/>
  <c r="K72" i="1"/>
  <c r="K73" i="1"/>
  <c r="K69" i="1"/>
  <c r="K202" i="1"/>
  <c r="K203" i="1"/>
  <c r="K169" i="1"/>
  <c r="K171" i="1"/>
  <c r="K167" i="1"/>
  <c r="K168" i="1"/>
  <c r="K51" i="1"/>
  <c r="K61" i="1"/>
  <c r="K62" i="1"/>
  <c r="K187" i="1"/>
  <c r="K192" i="1"/>
  <c r="K191" i="1"/>
  <c r="K196" i="1"/>
  <c r="K197" i="1"/>
  <c r="K195" i="1"/>
  <c r="K100" i="1"/>
  <c r="K164" i="1"/>
  <c r="K134" i="1"/>
  <c r="K137" i="1"/>
  <c r="K135" i="1"/>
  <c r="K136" i="1"/>
  <c r="K138" i="1"/>
  <c r="K31" i="1"/>
  <c r="K32" i="1"/>
  <c r="K11" i="1"/>
  <c r="K12" i="1"/>
  <c r="K150" i="1"/>
  <c r="K151" i="1"/>
  <c r="K152" i="1"/>
  <c r="K17" i="1"/>
  <c r="K18" i="1"/>
  <c r="K15" i="1"/>
  <c r="K19" i="1"/>
  <c r="K16" i="1"/>
  <c r="K20" i="1"/>
  <c r="K22" i="1"/>
  <c r="K82" i="1"/>
  <c r="L82" i="1"/>
  <c r="E82" i="1"/>
  <c r="L22" i="1"/>
  <c r="E22" i="1"/>
  <c r="L20" i="1"/>
  <c r="E20" i="1"/>
  <c r="L16" i="1"/>
  <c r="E16" i="1"/>
  <c r="L19" i="1"/>
  <c r="E19" i="1"/>
  <c r="L15" i="1"/>
  <c r="E15" i="1"/>
  <c r="L18" i="1"/>
  <c r="E18" i="1"/>
  <c r="L17" i="1"/>
  <c r="E17" i="1"/>
  <c r="L152" i="1"/>
  <c r="E152" i="1"/>
  <c r="L151" i="1"/>
  <c r="E151" i="1"/>
  <c r="L150" i="1"/>
  <c r="E150" i="1"/>
  <c r="L12" i="1"/>
  <c r="E12" i="1"/>
  <c r="L11" i="1"/>
  <c r="E11" i="1"/>
  <c r="L32" i="1"/>
  <c r="E32" i="1"/>
  <c r="L31" i="1"/>
  <c r="E31" i="1"/>
  <c r="L138" i="1"/>
  <c r="E138" i="1"/>
  <c r="L136" i="1"/>
  <c r="E136" i="1"/>
  <c r="L135" i="1"/>
  <c r="E135" i="1"/>
  <c r="L137" i="1"/>
  <c r="E137" i="1"/>
  <c r="L134" i="1"/>
  <c r="E134" i="1"/>
  <c r="L164" i="1"/>
  <c r="E164" i="1"/>
  <c r="L100" i="1"/>
  <c r="E100" i="1"/>
  <c r="L195" i="1"/>
  <c r="E195" i="1"/>
  <c r="L197" i="1"/>
  <c r="E197" i="1"/>
  <c r="L196" i="1"/>
  <c r="E196" i="1"/>
  <c r="L191" i="1"/>
  <c r="E191" i="1"/>
  <c r="L192" i="1"/>
  <c r="E192" i="1"/>
  <c r="L187" i="1"/>
  <c r="E187" i="1"/>
  <c r="L62" i="1"/>
  <c r="E62" i="1"/>
  <c r="L61" i="1"/>
  <c r="E61" i="1"/>
  <c r="L51" i="1"/>
  <c r="E51" i="1"/>
  <c r="L168" i="1"/>
  <c r="E168" i="1"/>
  <c r="L167" i="1"/>
  <c r="E167" i="1"/>
  <c r="L171" i="1"/>
  <c r="E171" i="1"/>
  <c r="L169" i="1"/>
  <c r="E169" i="1"/>
  <c r="L203" i="1"/>
  <c r="E203" i="1"/>
  <c r="L202" i="1"/>
  <c r="E202" i="1"/>
  <c r="L69" i="1"/>
  <c r="E69" i="1"/>
  <c r="L73" i="1"/>
  <c r="E73" i="1"/>
  <c r="L72" i="1"/>
  <c r="E72" i="1"/>
  <c r="L71" i="1"/>
  <c r="E71" i="1"/>
  <c r="L70" i="1"/>
  <c r="E70" i="1"/>
  <c r="K130" i="1"/>
  <c r="K46" i="1"/>
  <c r="K80" i="1"/>
  <c r="K65" i="1"/>
  <c r="K64" i="1"/>
  <c r="K9" i="1"/>
  <c r="K42" i="1"/>
  <c r="K43" i="1"/>
  <c r="K60" i="1"/>
  <c r="K40" i="1"/>
  <c r="K41" i="1"/>
  <c r="K6" i="1"/>
</calcChain>
</file>

<file path=xl/sharedStrings.xml><?xml version="1.0" encoding="utf-8"?>
<sst xmlns="http://schemas.openxmlformats.org/spreadsheetml/2006/main" count="1701" uniqueCount="592">
  <si>
    <t>File</t>
  </si>
  <si>
    <t>Tipo</t>
  </si>
  <si>
    <t>Proveedor</t>
  </si>
  <si>
    <t>Moneda</t>
  </si>
  <si>
    <t>FechaVcto</t>
  </si>
  <si>
    <t>Detalle</t>
  </si>
  <si>
    <t>FechaEmision</t>
  </si>
  <si>
    <t>RHE</t>
  </si>
  <si>
    <t>ALCAZAR GONZALES ERNESTO ANDRES</t>
  </si>
  <si>
    <t>RUC</t>
  </si>
  <si>
    <t>Importe</t>
  </si>
  <si>
    <t>PEN</t>
  </si>
  <si>
    <t>COCINA PERSONALIZADA</t>
  </si>
  <si>
    <t>Detracción</t>
  </si>
  <si>
    <t>Neto</t>
  </si>
  <si>
    <t>ADMINISTRATIVO</t>
  </si>
  <si>
    <t>RECIBO</t>
  </si>
  <si>
    <t>PROVEEDOR</t>
  </si>
  <si>
    <t>Tipo_Comprobante</t>
  </si>
  <si>
    <t>S002-228322436</t>
  </si>
  <si>
    <t>Entel Perú S.A.</t>
  </si>
  <si>
    <t>RECIBO DEL 01/08 AL 31/08</t>
  </si>
  <si>
    <t>FACTURA</t>
  </si>
  <si>
    <t>N°_Comprobante</t>
  </si>
  <si>
    <t>E001 - 109</t>
  </si>
  <si>
    <t>E001-1754</t>
  </si>
  <si>
    <t xml:space="preserve">CAMPING TOURS E.I.R.LTDA  </t>
  </si>
  <si>
    <t>USD</t>
  </si>
  <si>
    <t xml:space="preserve"> SERVICIO DE CAMINO INCA 2 DIAS , FECHA: 25
ABRIL 2026, FILE: 260400004, ANULACION</t>
  </si>
  <si>
    <t>E001-1807</t>
  </si>
  <si>
    <t>SERVICIO DE VINICUNCA, FECHA: 13 JUNIO 2026,
FILE: 260500017</t>
  </si>
  <si>
    <t xml:space="preserve">E001-1802 </t>
  </si>
  <si>
    <t>SERVICIO DE VINICUNCA, FECHA: 18 JUNIO 2026,
CODIGO: 260600001</t>
  </si>
  <si>
    <t>E001-1847</t>
  </si>
  <si>
    <t>SERVICIO DE CAMINO INCA 2D/1N, FECHA: 20 JULIO
2026, FILE: 260700009</t>
  </si>
  <si>
    <t>F001-038853</t>
  </si>
  <si>
    <t>AMERICANA DE TURISMO E.I.R.L.</t>
  </si>
  <si>
    <t>F.S 02-08-2026 LAURIE ANNE BOSSE PLUMMER, FILE:
260700008 SERVICIO DE VALLE SAGRADO ROYAL CLASS</t>
  </si>
  <si>
    <t>F005-00003003</t>
  </si>
  <si>
    <t>FOOD SERVICE INVESTMENT S.A.C.</t>
  </si>
  <si>
    <t>Experiencia Maido sin Maridaje</t>
  </si>
  <si>
    <t>F005-00003004</t>
  </si>
  <si>
    <t>CONSUMO</t>
  </si>
  <si>
    <t>F005-018812</t>
  </si>
  <si>
    <t>GRESCO S.A.C.</t>
  </si>
  <si>
    <t>CLASE DEMOSTRATIVA DE PISCO SOUR + CEVICHE
CON DEGUSTACION</t>
  </si>
  <si>
    <t>E001 742</t>
  </si>
  <si>
    <t>CATACORA RAMIREZ PAUL FRED</t>
  </si>
  <si>
    <t>ASISTENCIA Y GUIADO TURÍSTICO EN VIAJE LIMA - PARACAS - ICA - LIMA DEL 28 DE JULIO AL 31 DE JULIO</t>
  </si>
  <si>
    <t>E001-108</t>
  </si>
  <si>
    <t>MERCADO AGUILAR JOSE RENEL</t>
  </si>
  <si>
    <t>LAVADO DE MUEBLES Y SILLAS</t>
  </si>
  <si>
    <t>E001- 640</t>
  </si>
  <si>
    <t>GONZALES ACHAHUI HENRY LUIS</t>
  </si>
  <si>
    <t>SERVICIO DE ASISTENCIA EN CUSCO PAX: ROBERT JOHANNES CRUIJSSEN X 04 FILE 260700009</t>
  </si>
  <si>
    <t>E001- 639</t>
  </si>
  <si>
    <t>SERVICIO DE ASISTENCIA EN CUSCO PAX: ALEXANDER DRIESSEN X 03 FILE 260700017</t>
  </si>
  <si>
    <t>E001- 637</t>
  </si>
  <si>
    <t>SERVICIO DE ASISTENCIA EN CUSCO PAX: QUENTIN AMBROSE X 02 FILE 260700011</t>
  </si>
  <si>
    <t>E001- 635</t>
  </si>
  <si>
    <t>SERVICIO DE ASISTENCIA EN CUSCO PAX: ORYNA GOICHUK X 03 FILE 260700005</t>
  </si>
  <si>
    <t>E001- 903</t>
  </si>
  <si>
    <t>GODEFROY GOICOCHEA JULIETTE DESIREE</t>
  </si>
  <si>
    <t>ATENCION A PASAJEROS QUENTIN AMBROSE BRUNDLE POR 2 (FILE 260700011): ACOMPAÑAMIENTO ALMUERZO EN REST. CALA Y ASISTENCIA REST. CALA A APTO EL 17 DE JULIO</t>
  </si>
  <si>
    <t>E001- 444</t>
  </si>
  <si>
    <t>VILCAS HANCCO ADRIEL</t>
  </si>
  <si>
    <t>SERVICIO DE GUIADO DE CITY TOUR DEL GRUPO MR ALEXANDER DRIESSEN, FILE 260700017. 21/07/2026</t>
  </si>
  <si>
    <t>E001- 445</t>
  </si>
  <si>
    <t>SERVICIO DE GUIADO DE CITY TOUR DEL GRUPO MR ROBERT MARIA CRUIJSSEN &amp; MRS CORNELIA VAN DER WIND, FILE 260700009, 22/07/2026</t>
  </si>
  <si>
    <t>E001- 453</t>
  </si>
  <si>
    <t>SARMIENTO LOPEZ LUIS RONALD</t>
  </si>
  <si>
    <t>SERVICIO TURISTICO PRESTADOS AL FILE MRS DINA AMGAD ANWAR ELMOFTY (07-09-17 MAY)</t>
  </si>
  <si>
    <t>E001- 460</t>
  </si>
  <si>
    <t>SERVICIO TURISTICO PRESTADOS AL FILE 260700003 LORI LYNN HEARTY X 5 (11 Y 12 DE JULIO 2026)</t>
  </si>
  <si>
    <t>E001- 411</t>
  </si>
  <si>
    <t>SERVICIO TURISTICO PRESTADOS AL FILE 260500003 MR FREDERICK WADCOCK (10 MAY 2026)</t>
  </si>
  <si>
    <t>E001- 412</t>
  </si>
  <si>
    <t>SERVICIO TURISTICO PRESTADOS AL FILE 260500005 - MR MOULE JONATHAN (10,12,18,19 MAY 2026)</t>
  </si>
  <si>
    <t>E001-721</t>
  </si>
  <si>
    <t>CUSCO AVENTURAS TRANSTOURS S.R.L.</t>
  </si>
  <si>
    <t>FILE: 260700011 MR QUENTIN AMBROSE BRUNDLE X 2, 16/07 TRF OUT CLINICA SOS AV 28 DE JULIO - APTO, MOVIL STARIA</t>
  </si>
  <si>
    <t>E001-1992</t>
  </si>
  <si>
    <t>ETT HOUSE TOURS S.A.C.</t>
  </si>
  <si>
    <t>SERVICIO DE TRANSPORTE TURISTICO N° DE FILE: 260600002 - PAXS: MRS IDA CHOW</t>
  </si>
  <si>
    <t>E001-1993</t>
  </si>
  <si>
    <t>SERVICIO DE TRANSPORTE TURISTICO N° DE FILE: 260700003 - PAXS: MRS LORI LYNN HEARTY</t>
  </si>
  <si>
    <t>E001-1126</t>
  </si>
  <si>
    <t>TRANSPORTES TURISTICOS LASER S.A.C.</t>
  </si>
  <si>
    <t>SERVICIO DE TRANSPORTE TURISTICO EN UNIDAD VAN H1: 27-05-26 TRF JW MARRIOTT MIRAFLORES-CITY TOUR CATEDRAL + CASA ALIAGA + M.LARCO 5HRS. 260500020 UDITA &amp; RISHABH</t>
  </si>
  <si>
    <t>E001-1124</t>
  </si>
  <si>
    <t>SERVICIO DE TRANSPORTE TURISTICO EN FECHAS VARIAS 13,17,18,19,23-05-26 (MALETERO/TRF VARIOS) PAX: MAX ALVA, JOSHI AKILESH [OJO: detraccion impresa en PDF como S/107.00 no cuadra con la diferencia Importe-Neto en USD; revisar con proveedor]</t>
  </si>
  <si>
    <t>E001-1115</t>
  </si>
  <si>
    <t>SERVICIO DE TRANSPORTE TURISTICO EN CAMIONETA SUV HYUNDAI, 12-05-26 TRF APTO VUELO LA2210/8HRS A DISPOSICION/RETORNO TRF APTO VUELO SALIDA AA918 LIMA-MIAMI. FILE: 260500012 - MR SETHU VAIDYANATHAN X 2</t>
  </si>
  <si>
    <t>E001-1169</t>
  </si>
  <si>
    <t>SALDO POR SERVICIOS DE TRANSPORTE: LIM 10-06-26 TRASLADO APTO-HOTEL GIRASOLES; 12-06-26 TRASLADO HOTEL GIRASOLES/APTO VUELO LA2007, 260600001 - MSS SYLVIE LAROUCHE</t>
  </si>
  <si>
    <t>E001-1170</t>
  </si>
  <si>
    <t>SALDO POR SERVICIOS DE TRANSPORTE: 16-06 TRASLADO APTO/HTL CASA REPUBLICA; 18-06 DISPOSICION 8HRS; 19-06 TRASLADO HTL CASA REPUBLICA/APTO. FILE 260600003 - MR JOHN DEREK SAWYER</t>
  </si>
  <si>
    <t>E001-1156</t>
  </si>
  <si>
    <t>SALDO POR SERVICIOS DE TRANSPORTE: 07-06 TRF APTO-HTL RADISSON DECAPOLIS; 08-06 HD GASTRONOMICO 8HRS; 09-06 TRF HTL-APTO. FILE 260500017 - MRS DINA AMGAD ANWAR ELMOFTY</t>
  </si>
  <si>
    <t>E001-1666</t>
  </si>
  <si>
    <t>INVERSIONES FENIX TOURS E.I.R.L.</t>
  </si>
  <si>
    <t>SERVICIO DE TRANSPORTE TURISTICO GRUPO MR ROBERT MARIA JOHANNES CRUIJSSEN X4 18/07 TRF ESTACION TREN WANCHAQ/HTL CASA ANDINA PREMIUM VALLE; 22/07 TRF QUINTA SAN BLAS HD COMBINADA; 24/07 TRF HTL QUINTA SAN BLAS/APTO; 16 BOTELLAS DE AGUA</t>
  </si>
  <si>
    <t>E001-1284</t>
  </si>
  <si>
    <t>RIGAL LIMOUSINE PERU S.A.C</t>
  </si>
  <si>
    <t>SERVICIOS DE TRANSPORTE EN VAN SOLATI 13,19,23,24 MAYO 2026 Y SPRINTER 17,18 MAYO 2026 SEGUN FILE 260500015 / FAMTRIP INDIA</t>
  </si>
  <si>
    <t>F002-00048880</t>
  </si>
  <si>
    <t>NESSUS HOTELES PERU S.A. (CASA ANDINA)</t>
  </si>
  <si>
    <t>ALOJAMIENTO CASA ANDINA STANDARD CUSCO PLAZA, HUESPED GOICHUK IEVGEN, RESERVA 4068/2026, 03-06/07/2026 (3 NOCHES)</t>
  </si>
  <si>
    <t>F002-00049089</t>
  </si>
  <si>
    <t>ALOJAMIENTO CASA ANDINA STANDARD CUSCO PLAZA, HUESPED FLEW DIANE, RESERVA 9378/2026, GRUPO 91812 FLEW, 12-14/07/2026 (2 NOCHES), FILE 260700011</t>
  </si>
  <si>
    <t>F014-00030204</t>
  </si>
  <si>
    <t>ALOJAMIENTO CASA ANDINA STANDARD CUSCO CATEDRAL, HUESPED GOICHUK IEVGEN, RESERVA 9723/2026, 08-11/07/2026 (3 NOCHES)</t>
  </si>
  <si>
    <t>F014-00030197</t>
  </si>
  <si>
    <t>ALOJAMIENTO CASA ANDINA STANDARD CUSCO CATEDRAL, HUESPED GOICHUK ORYNA, RESERVA 3149/2026, 08-11/07/2026 (3 NOCHES)</t>
  </si>
  <si>
    <t>F013-00055142</t>
  </si>
  <si>
    <t>ALOJAMIENTO CASA ANDINA PREMIUM VALLE SAGRADO, HUESPED CRUIJSSEN ROBERT MARIA JOHANNES, RESERVA 22713/2026, GRUPO 126556 ROBERT, 18-20/07/2026 (2 NOCHES), FILE 260700009</t>
  </si>
  <si>
    <t>E001- 125</t>
  </si>
  <si>
    <t>CALLAÑAUPA DE HENDRICKSON FLORA</t>
  </si>
  <si>
    <t>DEMOSTRACION DE TEJIDOS EL 13-05-2026</t>
  </si>
  <si>
    <t>E001- 124</t>
  </si>
  <si>
    <t>DEMOSTRACION DE TEJIDOS EL 10-05-2026</t>
  </si>
  <si>
    <t>E001- 458</t>
  </si>
  <si>
    <t>ANCAYPURO TORRES JOSE LUIS</t>
  </si>
  <si>
    <t>SERVICIO DE GUIA TRASLADOS CUSCO FILE2605000004 (SIC EN RECIBO, POSIBLE ERRATA - VERIFICAR N° DE FILE) 30 DE ABRIL Y 2 DE MAYO</t>
  </si>
  <si>
    <t>E001- 466</t>
  </si>
  <si>
    <t>SERVICIO DE GUIA HTL HACIENDA CUSCO PLAZA/HTL PALACIO MANCO CAPAC FILE260500014 24 DE MAYO</t>
  </si>
  <si>
    <t>F001-00000653</t>
  </si>
  <si>
    <t>PERUVIAN CULTURE TRAVEL AGENCIA DE VIAJES Y TURISMO S.R.L.</t>
  </si>
  <si>
    <t>POR SERVICIOS TURISTICOS PRESTADOS: PUNO CCA AQP 3D 2N + CITY TOUR + MONASTERIO + MOMIA JUANITA + TRF OUT DEL 28 DE MAYO AL 01 DE JUNIO PAX: ALEXANDER KARL X 02</t>
  </si>
  <si>
    <t>F001-00000670</t>
  </si>
  <si>
    <t>POR SERVICIOS TURISTICOS PRESTADOS: TRF IN + CITY TOUR + MONASTERIO + AQP CCA PUNO 3D 2N DEL 06 AL 08 DE JUNIO PAX: ROGER LEWIS X 02</t>
  </si>
  <si>
    <t>F001-00000694</t>
  </si>
  <si>
    <t>POR SERVICIOS TURISTICOS PRESTADOS: TRF IN + CITY TOUR + MONASTERIO + MOMIA JUANITA + AQP CCA PUNO 3D 2N + TRSL CCA PUNO DEL 12 AL 16 DE JULIO PAX: ROBERT MARIA JOHANNES X 04</t>
  </si>
  <si>
    <t>E001-7066</t>
  </si>
  <si>
    <t>ARCOBALENO SOCIEDAD COMERCIAL DE RESPONSABILIDAD LIMITADA</t>
  </si>
  <si>
    <t>SERVICIO DE TRANSPORTE TURISTICO MR. FREDERICK WADCOCK X2: TRF IN, EXC UROS-TAQUILE, TRF OUT, SNACK. FILE 260500003</t>
  </si>
  <si>
    <t>E001-7067</t>
  </si>
  <si>
    <t>SERVICIO DE TRANSPORTE TURISTICO MR. MOULE JONATHAN X2: TRF IN, EXC UROS-TAQUILE, TRF OUT. FILE 260500005</t>
  </si>
  <si>
    <t>E001-7057</t>
  </si>
  <si>
    <t>SERVICIO DE TRANSPORTE TURISTICO MR. BASTIAN BRONNEBERG X2: EXC UROS-TAQUILE+GUIA PC, TRF OUT. FILE 260500007</t>
  </si>
  <si>
    <t>E001-7079</t>
  </si>
  <si>
    <t>SERVICIO DE TRANSPORTE TURISTICO MR. ALEXANDER KARL FRITZ X2: TRF IN, EXC UROS-AMANTANI. FILE 260500010</t>
  </si>
  <si>
    <t>E001-7059</t>
  </si>
  <si>
    <t>SERVICIO DE TRANSPORTE TURISTICO MR. SETHU VAIDYANATHAN X2: TRF OUT HTL-APTO. FILE 260500012</t>
  </si>
  <si>
    <t>E001-7080</t>
  </si>
  <si>
    <t>SERVICIO DE TRANSPORTE TURISTICO MR. STEVEN WILLIAM STATHAM X2: EXC UROS-TAQUILE, TRF OUT. FILE 260500014</t>
  </si>
  <si>
    <t>E001-7147</t>
  </si>
  <si>
    <t>SERVICIO DE TRANSPORTE TURISTICO MR. ROBERT MARIA JOHANNES CRUIJSSEN X4: EXC UROS-TAQUILE+GUIA PC, TRF OUT. FILE 260700009</t>
  </si>
  <si>
    <t>E001-6498</t>
  </si>
  <si>
    <t>GRUPO TOURBULENCIA EN PERU S.R.L. (XTREME TOURBULENCIA)</t>
  </si>
  <si>
    <t>POR SERVICIO DE OPERACION DE TREK LARES MACHUPICCHU, GRUPO FILE 260600001 - MSS SYLVIE LAROUCHE, 16-06 AL 19-06-2026 [PENDIENTE CONFIRMAR MONTO DE DETRACCION CON GABRIEL]</t>
  </si>
  <si>
    <t>E001-122</t>
  </si>
  <si>
    <t>ANICAMA ZAMORA SAULO CHRIS</t>
  </si>
  <si>
    <t>CREACIÓN DE DISEÑOS PARA TUCANO PERU TRAVEL BOUTIQUE</t>
  </si>
  <si>
    <t>GUILLEN GALLO ANDRES ALEJANDRO</t>
  </si>
  <si>
    <t>SERVICIO DE LLAMADAS TELEFONICAS CORRESPONDIENTE AL MES DE AGOSTO 2026</t>
  </si>
  <si>
    <t>E001- 641</t>
  </si>
  <si>
    <t>SERVICIO DE ASISTENCIA EN CUSCO PAX: JEREMY LEWIS EVANS X 04 FILE 260700019</t>
  </si>
  <si>
    <t>E001- 638</t>
  </si>
  <si>
    <t>SERVICIO DE ASISTENCIA EN CUSCO PAX: LORI LYNN HEARTY X 05 FILE 260700003</t>
  </si>
  <si>
    <t>E001- 636</t>
  </si>
  <si>
    <t>SERVICIO DE ASISTENCIA EN CUSCO PAX: RUKMANI CHOPRA X 02 FILE 260700014</t>
  </si>
  <si>
    <t>E001 - 78</t>
  </si>
  <si>
    <t>MARTINEZ MAZA RINA GEORELA</t>
  </si>
  <si>
    <t>SERVICIO ADMINISTRATIVO PARA FILE 260600002 - 260600003, CORRESPONDIENTE AL MES DE JUNIO</t>
  </si>
  <si>
    <t>E001- 447</t>
  </si>
  <si>
    <t>GIRON RIVERA WALTER MANUEL</t>
  </si>
  <si>
    <t>POR SERVICIO DE GUIADO TURISTICO EL DIA 12 DE JULIO DEL 2026. FILE: 260700009 MR ROBERT MARIA JOHANNES X 4</t>
  </si>
  <si>
    <t>E001- 431</t>
  </si>
  <si>
    <t>POR SERVICIO DE GUIADO TURISTICO EL DIA 28 DE MAYO DEL 2026. FILE: 260500002 MR ROGER BEVAN X 2</t>
  </si>
  <si>
    <t>E001- 450</t>
  </si>
  <si>
    <t>POR SERVICIO DE GUIADO TURISTICO EL DIA 16 DE JULIO DEL 2026. FILE: 260700017</t>
  </si>
  <si>
    <t>E001- 470</t>
  </si>
  <si>
    <t>MENDOZA PILARES FERNANDO</t>
  </si>
  <si>
    <t>SERVICIO GUIADO VALLE PAX ORYNA GOICHUK DIA 07/07</t>
  </si>
  <si>
    <t>E001- 544</t>
  </si>
  <si>
    <t>HANCO ASTETE ANDY</t>
  </si>
  <si>
    <t>SERVICIO DE ASISTENCIA Y GUIADO EN OLLANTAYTAMBO EL 11/06; GUIADO CHINCHERO/MARAS/MORAY EL 12/06; CITY TOUR CUSCO EL 14/06; VIATICOS VALLE SAGRADO - CUSCO. FILE 260500017 - MRS DINA AMGAD ANWAR ELMOFTY</t>
  </si>
  <si>
    <t>E001- 441</t>
  </si>
  <si>
    <t>SERVICIO DE GUIADO DEL GRUPO MR QUENTIN AMBROSE FILE 260700011 CITY TOUR Y VALLE SAGRADO</t>
  </si>
  <si>
    <t>E001- 443</t>
  </si>
  <si>
    <t>SERVICIO DE GUIADO DE OLLANTAYTAMBO, MARAS, MORAY DEL GRUPO MRS LORI LYNN HEARTY FILE 260700003 DEL DIA 14/07/2026</t>
  </si>
  <si>
    <t>E001- 1409</t>
  </si>
  <si>
    <t>SILVA PEREZ SAMUEL FRANCISCO</t>
  </si>
  <si>
    <t>IDA CHOW FILE 260600002 (16/06/26, 18/06/26, 25/06/26)</t>
  </si>
  <si>
    <t>E001- 579</t>
  </si>
  <si>
    <t>MAMANI QUISPE VICTOR HUGO</t>
  </si>
  <si>
    <t>SERVICIOS DE GUIADO PRIVADO MACHUPICCHU MAS MONTAÑA FILE 260600003 JOHN DEREK SAWYER X3 FECHA 24-06-26</t>
  </si>
  <si>
    <t>E001- 578</t>
  </si>
  <si>
    <t>SERVICIO DE GUIADO PRIVADO MACHUPICCHU FILE 260600003 PAXS JOHN DEREK SAWYER X2 FECHA 23-06-26</t>
  </si>
  <si>
    <t>E001- 580</t>
  </si>
  <si>
    <t>SERVICIO DE GUIADO PRIVADO EN MACHUPICCHU FILE 260700018 PAXS MIHNEA PIUARU X2 FECHA 30-06-26</t>
  </si>
  <si>
    <t>E001- 581</t>
  </si>
  <si>
    <t>SERVICIO DE GUIADO PRIVADO MACHUPICCHU MAS MONTAÑA FILE 260700018 PAXS MIHNEA PIUARU X2 FECHA 01-07-26</t>
  </si>
  <si>
    <t>E001- 576</t>
  </si>
  <si>
    <t>SERVICIOS DE GUIADO MACHUPICCHU PRIVADO FILE 260600002 FECHA 22-06-26 PAXS IDA CHOW X6</t>
  </si>
  <si>
    <t>E001- 577</t>
  </si>
  <si>
    <t>SERVICIO DE GUIA PRIVADO MACHUPICCHU MAS INTIPUNKU FILE 260600002 PAXS IDA CHOW X6 MAS CAMINATA AL INTIPUNKU</t>
  </si>
  <si>
    <t>E001- 452</t>
  </si>
  <si>
    <t>SERVICIO TURISTICO PRESTADOS AL FILE 260500014 MR STEVEN WILLIAM STATHAM (29-30 MAY 02-03 JUN)</t>
  </si>
  <si>
    <t>E001- 455</t>
  </si>
  <si>
    <t>SERVICIO TURISTICO PRESTADOS AL FILE JOHN DEREK SAWYER (16,19-06-2026)</t>
  </si>
  <si>
    <t>E001- 461</t>
  </si>
  <si>
    <t>SERVICIO TURISTICO PRESTADOS AL FILE 260700011 QUENTIN BRUNDLE X 2 (09, 10 Y 17 DE JULIO 2026)</t>
  </si>
  <si>
    <t>E001- 459</t>
  </si>
  <si>
    <t>SERVICIO TURISTICO PRESTADOS AL FILE 260600004 MIHNEA PIUARU (03 Y 06 DE JULIO 2026)</t>
  </si>
  <si>
    <t>E001- 462</t>
  </si>
  <si>
    <t>SERVICIO TURISTICO PRESTADOS AL FILE 260700014 RUKMANI CHOPRA X 2 (04, 13 Y 15 DE JULIO 2026)</t>
  </si>
  <si>
    <t>E001-767</t>
  </si>
  <si>
    <t>TRANSPORTE TURISTICO GABRIELA TOURS E.I.R.L.</t>
  </si>
  <si>
    <t>(21/06)TRASLADO APTO/HOTEL PALACIO DEL INKA; (22/06)HD COMBINADA; (23-24/06)TRASLADOS EST. POROY; (25/06)TRASLADO APTO. FILE 260600003 - MR JOHN DEREK SAWYER</t>
  </si>
  <si>
    <t>E001-766</t>
  </si>
  <si>
    <t>(30/05-06/06) TRASLADOS Y TOURS VALLE SAGRADO HTL SOL Y LUNA. FILE 260500002 - MR ROGER BEVAN</t>
  </si>
  <si>
    <t>E001-763</t>
  </si>
  <si>
    <t>(10-13/05) TRASLADOS Y CITY TOUR CASA ANDINA STANDARD CUSCO PLAZA. FILE 260500003 - MR FREDERICK WADCOCK</t>
  </si>
  <si>
    <t>E001-60</t>
  </si>
  <si>
    <t>KEMPOR TOURS E.I.R.L.</t>
  </si>
  <si>
    <t>SERVICIO DE TRANSPORTE EN CUSCO EL 04-07 AL 10-07. FILE 260700014</t>
  </si>
  <si>
    <t>E001-1151</t>
  </si>
  <si>
    <t>SALDO POR SERVICIOS DE TRANSPORTE: 04-04 TRF APTO-HTL CASA REPUBLICA; 05-04 Y 17-04 TRASLADOS APTO; 18-04 CITY TOUR LIMA + TRASLADO APTO. FILE 260400002 - MRS ANNELIES BUDIHARTO</t>
  </si>
  <si>
    <t>E001-1152</t>
  </si>
  <si>
    <t>SALDO POR SERVICIOS DE TRANSPORTE VARIOS ABRIL 2026. FILE 260400006 - MR GAETAN TURGEON [INCONSISTENCIA: EL PDF INDICA DETRACCION 10% S/220.00 PERO EL MONTO NETO PENDIENTE DE PAGO NO LA REFLEJA, QUEDA IGUAL AL IMPORTE TOTAL]</t>
  </si>
  <si>
    <t>E001-1160</t>
  </si>
  <si>
    <t>SERVICIO DE TRANSPORTE MAYO-JUNIO 2026, FILE 260500010 - MR ALEXANDER KARL FRITZ [INCONSISTENCIA: EL PDF INDICA DETRACCION 10% S/75.00 PERO EL MONTO NETO PENDIENTE DE PAGO NO LA REFLEJA, QUEDA IGUAL AL IMPORTE TOTAL]</t>
  </si>
  <si>
    <t>E001-1190</t>
  </si>
  <si>
    <t>SALDO POR SERVICIOS DE TRANSPORTE: 03-07 TRASLADO APTO/HTL BELMOND; 04-07 DISPOSICION 7:30HRS; 06-07 TRASLADO HTL/APTO. FILE 260600004 - MR MIHNEA PIUARU</t>
  </si>
  <si>
    <t>E001-1205</t>
  </si>
  <si>
    <t>SERVICIO DE TRANSPORTE: 16-07 TRF APTO-HTL TIERRA VIVA; 17-07 TRASLADOS HTL/REST. CALA/HTL Y TRF HTL/APTO. FILE 260700011 - MR QUENTIN AMBROSE BRUNDLE</t>
  </si>
  <si>
    <t>E001-1618</t>
  </si>
  <si>
    <t>SERVICIO DE TRANSPORTE TURISTICO GRUPO MSS SYLVIE LAROUCHE X5 FILE 260600001: 12/06 TRASLADO APTO/HOTEL RUMIPUNKU; 19/06 TRASLADO HOTEL/APTO</t>
  </si>
  <si>
    <t>E001-1656</t>
  </si>
  <si>
    <t>SERVICIO DE TRANSPORTE TURISTICO PAX MR ALEXANDER DRIESSEN FILE 260700017: 17/07 TRF APTO-HOTEL TAMBO DEL INKA; 19/07 TRASLADO EST. OLLANTA; 20/07 TRASLADO HTL CASA CARTAGENA; 21/07 HD COMBINADA; 24 BOTELLAS DE AGUA</t>
  </si>
  <si>
    <t>F001-00000610</t>
  </si>
  <si>
    <t>POR SERVICIOS TURISTICOS PRESTADOS: TRF IN + CITY TOUR + MONASTERIO + MOMIA JUANITA + AQP CCA PUNO 3D 2N DEL 03 AL 07 DE MAYO PAX: BASTIAN BRONNEBERG X 02</t>
  </si>
  <si>
    <t>F001-00000671</t>
  </si>
  <si>
    <t>POR ADICIONAL EN VOTACIONES 2DA VUELTA EL 07 DE JUNIO PAX: ROGER LEWIS X 02</t>
  </si>
  <si>
    <t>F001-00000693</t>
  </si>
  <si>
    <t>POR SERVICIOS TURISTICOS PRESTADOS: TRF IN + AQP CCA PUNO 2D 1N + TRSL CCA-PUNO DEL 14 AL 16 DE JULIO PAX: QUENTIN AMBROSE X 02</t>
  </si>
  <si>
    <t>E001-7143</t>
  </si>
  <si>
    <t>SERVICIO DE TRANSPORTE TURISTICO MR QUENTIN AMBROSE BRUNDLE X2: EXC UROS-LANCHA RAPIDA(60%); ADD TRF PTO PUNO-MALETAS(60%); TRF OUT HTL-APTO. FILE 260700011</t>
  </si>
  <si>
    <t>E001-1846</t>
  </si>
  <si>
    <t>CAMPING TOURS E.I.R.LTDA</t>
  </si>
  <si>
    <t>SERVICIO DE VINICUNCA, FECHA: 03 AGOSTO 2026, FILE: 260700008 (FACTURA UNICA)</t>
  </si>
  <si>
    <t>E001-1844</t>
  </si>
  <si>
    <t>SERVICIO DE VINICUNCA, FECHA: 10 JULIO 2026, FILE: 260700005</t>
  </si>
  <si>
    <t>Estado</t>
  </si>
  <si>
    <t>CARGADO - 1007</t>
  </si>
  <si>
    <t>CARGADO - 907</t>
  </si>
  <si>
    <t>CARGADO - 1107</t>
  </si>
  <si>
    <t>E001-172</t>
  </si>
  <si>
    <t>BEOUTIS BAZAN URSULA CATHERINE</t>
  </si>
  <si>
    <t>CARGADO - 1207</t>
  </si>
  <si>
    <t>E001-880</t>
  </si>
  <si>
    <t>PAEZ HEREDIA PABEL</t>
  </si>
  <si>
    <t>POR EL SERVICIO DEL SISTEMA BACKOFFICE SPAL</t>
  </si>
  <si>
    <t>E001-881</t>
  </si>
  <si>
    <t>CARGADO - 1307</t>
  </si>
  <si>
    <t>ASESORIA EN VENTAS</t>
  </si>
  <si>
    <t>E001- 173</t>
  </si>
  <si>
    <t>ASESORIA EN VENTAS JUNIO26</t>
  </si>
  <si>
    <t>E001- 174</t>
  </si>
  <si>
    <t>ASESORIA EN VENTAS MAYO26</t>
  </si>
  <si>
    <t>E001- 175</t>
  </si>
  <si>
    <t>ASESORIA EN VENTAS ABRIL26</t>
  </si>
  <si>
    <t>E001- 176</t>
  </si>
  <si>
    <t>ASESORIA EN VENTAS MARZO26</t>
  </si>
  <si>
    <t>E001- 468</t>
  </si>
  <si>
    <t>TRANSPORTE POROY HOTEL INKARRI - FILE 260700008 - MRS LAURIE BOSSE X2</t>
  </si>
  <si>
    <t>E001-1879</t>
  </si>
  <si>
    <t>SERVICIO DE VINICUNCA PRIVADO, FECHA: 23 JULIO 2026, + SERVICIO DE CABALLO IDA. FILE 260700009</t>
  </si>
  <si>
    <t>FW01-00000409</t>
  </si>
  <si>
    <t>SIETE APUS E.I.R.L.</t>
  </si>
  <si>
    <t>PRENDA CS (UNIFORME)</t>
  </si>
  <si>
    <t>F020-00016435</t>
  </si>
  <si>
    <t>LA CASA DE BARRANCO S.A.C (HOTEL B)</t>
  </si>
  <si>
    <t>ALOJAMIENTO RESERVA 140303, HUESPEDES DE WILDE TAKENS TJAAKJE / TAKENS ROBERT JAN, 06-07/08/2026 (INCLUYE 10% RECARGO AL CONSUMO)</t>
  </si>
  <si>
    <t>F002-0023975</t>
  </si>
  <si>
    <t>BUGANVILLA TOURS S.A.C.</t>
  </si>
  <si>
    <t>PAX GUIA A DISPOSICION + VIATICOS DE GUIA + ENTRADA RESERVA NACIONAL. PAX GIBSON X2 FILE 260700010 SERVICIO 18 AGOSTO [DETRACCION 12% S/131.10 INDICADA EN PDF, NO SE REFLEJA EN NETO USD - PENDIENTE CONFIRMAR]</t>
  </si>
  <si>
    <t>F012-00000776</t>
  </si>
  <si>
    <t>EMPRESA MUNICIPAL DE FESTEJOS DEL CUSCO S.A. (EMUFEC)</t>
  </si>
  <si>
    <t>SERVICIO ZONA CHASKA (TRIBUNA ROJA) X7 - INTIRAYMI</t>
  </si>
  <si>
    <t>FA20-59966</t>
  </si>
  <si>
    <t>TELEDISTRIBUCION SA (TELETICKET)</t>
  </si>
  <si>
    <t>CARGO POR SERVICIO - PROYECTO EFC009 (ENTRADAS INTIRAYMI)</t>
  </si>
  <si>
    <t>E001-1230</t>
  </si>
  <si>
    <t>SALDO POR SERVICIOS DE TRANSPORTE JULIO 2026 (LIMA-PARACAS-ICA), FILE 260700009 - MR ROBERT MARIA JOHANNES CRUIJSSEN X4 [INCONSISTENCIA: PDF INDICA DETRACCION 10% S/508.00 PERO EL MONTO NETO PENDIENTE NO LA REFLEJA]</t>
  </si>
  <si>
    <t>F003-00000024</t>
  </si>
  <si>
    <t>ALQA GALERIA DE EXPRESIONES ANDINAS SRL</t>
  </si>
  <si>
    <t>ALMUERZO O CENA DE AUTORES (3 ADULTOS + 1 GUIA). FILE 260800007 // IOANNIS SARANTITIS</t>
  </si>
  <si>
    <t>F001-00000733</t>
  </si>
  <si>
    <t>POR SERVICIOS TURISTICOS PRESTADOS: PUNO CCA AQP 3D 2N + CITY TOUR + MONASTERIO + MOMIA JUANITA + TRF OUT DEL 14 AL 18 DE AGOSTO PAX: GIBSON X 02 [VER TAMBIEN F001-734, MISMA DESCRIPCION - CONFIRMAR CON PROVEEDOR CUAL ES LA VALIDA]</t>
  </si>
  <si>
    <t>F001-00000734</t>
  </si>
  <si>
    <t>POR SERVICIOS TURISTICOS PRESTADOS: PUNO CCA AQP 3D 2N + CITY TOUR + MONASTERIO + MOMIA JUANITA + TRF OUT DEL 14 AL 18 DE AGOSTO PAX: GIBSON X 02 [VER TAMBIEN F001-733, MISMA DESCRIPCION - CONFIRMAR CON PROVEEDOR CUAL ES LA VALIDA]</t>
  </si>
  <si>
    <t>RENDICION</t>
  </si>
  <si>
    <t>FG-ADM-001-260700009</t>
  </si>
  <si>
    <t>RENDICION DE GASTOS FILE 260700009 - MR ROBERT CRUIJSSEN X4 (28 AL 31 JUL): PASAJES/MOVILIDAD S/145.00 + FACTURAS TRANSPORTE S/279.00 + ALMUERZOS/CENA S/83.00. ADELANTO RECIBIDO S/510.00, GASTADO S/507.00, SALDO A FAVOR DE LA EMPRESA S/3.00.</t>
  </si>
  <si>
    <t>E001-9</t>
  </si>
  <si>
    <t>LUCERO KARLA MADGE BOCANEGRA</t>
  </si>
  <si>
    <t>EJECUTIVA DE TURISMO RECEPTIVO</t>
  </si>
  <si>
    <t>E001-1743</t>
  </si>
  <si>
    <t>SERVICIO DE CAMINO INCA 4 DIAS/3N, FECHA: 31 AGOSTO 2026, FILE: 260800005 [NETO CALCULADO: PDF NO TRAE MONTO NETO IMPRESO (CONTADO SIN BLOQUE DE CREDITO), SE USO DETRACCION 12% SOBRE IMPORTE]</t>
  </si>
  <si>
    <t>E001-1845</t>
  </si>
  <si>
    <t>SERVICIO DE VINICUNCA PRIVADO, FECHA: 23 JULIO 2026, FILE: 260700019</t>
  </si>
  <si>
    <t>E001-1880</t>
  </si>
  <si>
    <t>SERVICIO DE VINICUNCA PRIVADO, FECHA: 23 JULIO 2026 + SERVICIO DE CABALLO IDA Y RETORNO. FILE 260700009</t>
  </si>
  <si>
    <t>E001-1881</t>
  </si>
  <si>
    <t>SERVICIO DE VINICUNCA PRIVADO, FECHA: 22 JULIO 2026, FILE: 260700017</t>
  </si>
  <si>
    <t>F501-00155552</t>
  </si>
  <si>
    <t>PERURAIL S.A.</t>
  </si>
  <si>
    <t>ANTICIPO POR SERVICIO DE TRANSPORTE FERROVIARIO PUBLICO DE PASAJEROS</t>
  </si>
  <si>
    <t>F501-00155772</t>
  </si>
  <si>
    <t>FC03-00002537</t>
  </si>
  <si>
    <t>PETIT POIS S.A.C. (HOTEL SOL Y LUNA)</t>
  </si>
  <si>
    <t>ANTICIPO SERVICIO DE ALOJAMIENTO. REF. 594158559 MAR RAUL PURI</t>
  </si>
  <si>
    <t>F011-29848</t>
  </si>
  <si>
    <t>ALBERGUE OLLANTAYTAMBO EIRL</t>
  </si>
  <si>
    <t>PACHAMANCA LUNCH X12, FILE: 260700012</t>
  </si>
  <si>
    <t>F011-29849</t>
  </si>
  <si>
    <t>PACHAMANCA LUNCH X5, FILE: 260700012</t>
  </si>
  <si>
    <t>F002-008703</t>
  </si>
  <si>
    <t>TRANSPORTES TURISTICOS KUTIMUY S.A.C.</t>
  </si>
  <si>
    <t>TRASLADOS Y TOURS VALLE SAGRADO 20-25/07/2026. PAXS: 260700019 - MR JEREMY LEWIS EVANS</t>
  </si>
  <si>
    <t>FA02-00001849</t>
  </si>
  <si>
    <t>CUSCO RESTAURANTS S.A.C.</t>
  </si>
  <si>
    <t>MENU 3 TIEMPOS X2. FILE: 260800004 - MR MENNO HERMAN WILLEMSEN</t>
  </si>
  <si>
    <t>F008-00035633</t>
  </si>
  <si>
    <t>HOTELERIA PERUANA S.A.C. (TIERRA VIVA HOTELS)</t>
  </si>
  <si>
    <t>ALOJAMIENTO, HUESPEDES ARBEL LEVI TAL / LEVI RESHEF, 11-13/08/2026 (2 NOCHES). ORDEN DE COMPRA 260800003</t>
  </si>
  <si>
    <t>F009-00002377</t>
  </si>
  <si>
    <t>QUBIST S.A.C. (GHL HOTEL LAGO TITICACA)</t>
  </si>
  <si>
    <t>ANTICIPO ALOJAMIENTO 18/20 AGO 2026 (2RN) - CODIGO 040519</t>
  </si>
  <si>
    <t>F005-00004262</t>
  </si>
  <si>
    <t>I.D.F. MAPPY S.A.C. (INDIO FELIZ)</t>
  </si>
  <si>
    <t>MENU X4. FILE 260700009 - MR ROBERT MARIA JOHANNES CRUIJSSEN</t>
  </si>
  <si>
    <t>F006-00003137</t>
  </si>
  <si>
    <t>HOTELES LA HACIENDA S.A.C.</t>
  </si>
  <si>
    <t>TRANSPORTE ISLAS BALLESTAS X2. FILE: 260800004 - MR MENNO WILLEMSEN X2</t>
  </si>
  <si>
    <t>E001-2237</t>
  </si>
  <si>
    <t>MANCORA TRAVEL S.A.C.</t>
  </si>
  <si>
    <t>SERVICIO DE TRANSPORTE TURISTICO + ASISTENCIA EN INGLES APTO TALARA-MANCORA 01-06AGO2026. FILE: 260700004 - MR EDUARD KIEBOOM X 04</t>
  </si>
  <si>
    <t>E001-66</t>
  </si>
  <si>
    <t>SERVICIO DE TRANSPORTE EN CUSCO EL 30-07-26. FILE: 260700012</t>
  </si>
  <si>
    <t>E001-67</t>
  </si>
  <si>
    <t>E001-1128</t>
  </si>
  <si>
    <t>QUECHUA TREKS PERU E.I.R.L.</t>
  </si>
  <si>
    <t>CANASTA PICNIC + BOX LUNCH + ASISTENCIA PICNIC, GRUPO 260800003 TAL ARBEL LEVI, 13-08-26 [NETO CALCULADO: PDF NO TRAE MONTO NETO IMPRESO (CONTADO SIN BLOQUE DE CREDITO), SE USO DETRACCION 12% SOBRE IMPORTE]</t>
  </si>
  <si>
    <t>E001-1228</t>
  </si>
  <si>
    <t>SERVICIO DE TRANSPORTE 06-07/08/2026, FILE 260800003 - MRS TAL ARBEL LEVI</t>
  </si>
  <si>
    <t>E001-1229</t>
  </si>
  <si>
    <t>SALDO POR SERVICIOS DE TRANSPORTE 26/07-09/08/2026. FILE 260700008 - MRS LAURIE ANNE BOSSE PLUMMER</t>
  </si>
  <si>
    <t>E001-1678</t>
  </si>
  <si>
    <t>SERVICIO DE TRANSPORTE TURISTICO PAX MR EDUARD KIEBOOM X4 FILE 260700004, 22-28/07/2026</t>
  </si>
  <si>
    <t>E001-49</t>
  </si>
  <si>
    <t>MATHEWS PROPERTY SOLUTIONS S.A.C. (MB PROPERTY)</t>
  </si>
  <si>
    <t>SERVICIO DE LIMPIEZA DIARIA 31/07 AL 04/08/2026</t>
  </si>
  <si>
    <t>E001-50</t>
  </si>
  <si>
    <t>SERVICIO DE RECARGA DE BALON DE GAS</t>
  </si>
  <si>
    <t>E001-51</t>
  </si>
  <si>
    <t>SERVICIO DE SUMINISTRO ELECTRICO RESERVA DEL 30 JULIO AL 05 DE AGOSTO</t>
  </si>
  <si>
    <t>E001-52</t>
  </si>
  <si>
    <t>MCA LUXURY CORPORATION S.A.C.</t>
  </si>
  <si>
    <t>SERVICIO DE MOVILIDAD EJECUTIVA [NETO CALCULADO: PDF NO TRAE MONTO NETO IMPRESO (CONTADO SIN BLOQUE DE CREDITO), SE USO DETRACCION 10% SOBRE IMPORTE]</t>
  </si>
  <si>
    <t>E001-950</t>
  </si>
  <si>
    <t>COOPERATIVA DE AHORRO Y CREDITO ABACO</t>
  </si>
  <si>
    <t>ALQUILER SAN MARTIN 138 BARRANCO DPTO 104 E-12 (01/08/26 AL 31/08/26) [NETO CALCULADO: PDF NO TRAE MONTO NETO IMPRESO (CONTADO SIN BLOQUE DE CREDITO), SE USO DETRACCION 10% SOBRE IMPORTE]</t>
  </si>
  <si>
    <t>E001- 442</t>
  </si>
  <si>
    <t>07-05-2026 SERVICIO DE GUIADO EN CUSCO FILE 260600002 MRS IDA CHOW</t>
  </si>
  <si>
    <t>E001- 644</t>
  </si>
  <si>
    <t>SERVICIO DE ASISTENCIA EN CUSCO PAX: EDUARD KIEBOOM X 03 FILE 260700004</t>
  </si>
  <si>
    <t>E001- 645</t>
  </si>
  <si>
    <t>SERVICIO DE ASISTENCIA EN CUSCO PAX: MARIEL LORENA REYES X 09 Y CAROLYN MARIE REYES X 06 FILE 260700012</t>
  </si>
  <si>
    <t>E001- 646</t>
  </si>
  <si>
    <t>SERVICIO DE ASISTENCIA EN CUSCO PAX: NATALIA KOLTSOVA X 02 FILE 260700020</t>
  </si>
  <si>
    <t>F001-00000736</t>
  </si>
  <si>
    <t>POR SERVICIOS TURISTICOS PRESTADOS: PUNO CCA AQP 2D 1N + ALMUERZO BUFFET + TRF OUT DEL 14 AL 16 DE AGOSTO PAX: AMANDA JANE X 04</t>
  </si>
  <si>
    <t>F001-00000737</t>
  </si>
  <si>
    <t>POR SERVICIOS TURISTICOS PRESTADOS: ADC POR COPORAQUE + CAMINATA SAN ANTONIO EL 07 DE MAYO PAX: BASTIAN BRONNEBERG X 02</t>
  </si>
  <si>
    <t>F001-10305</t>
  </si>
  <si>
    <t>NATURA VIVE S.A.C.</t>
  </si>
  <si>
    <t>TURISMO DE AVENTURA VIA FERRATA+ZIP LINE - PRIVADO. FILE: 260800003 - MRS TAL ARBEL LEVI X2, SERVICIO 15/08/2026</t>
  </si>
  <si>
    <t>PROGRAMADO</t>
  </si>
  <si>
    <t>PAGADA</t>
  </si>
  <si>
    <t>OBS</t>
  </si>
  <si>
    <t>E001-129</t>
  </si>
  <si>
    <t>CALLAÃ‘AUPA DE HENDRICKSON FLORA</t>
  </si>
  <si>
    <t>RECIBO POR HONORARIOS - DEMOSTRACION DE TEJIDOS EL 07-07-2026</t>
  </si>
  <si>
    <t>E001-71</t>
  </si>
  <si>
    <t>SERVICIO DE LLAMADAS TELEFONICAS CORRESPONDIENTE A AGOSTO 2026 [OJO: EL MISMO PROVEEDOR YA TIENE E001-7147 REGISTRADO TAMBIEN COMO LLAMADAS DE AGOSTO 2026 - VERIFICAR CON PROVEEDOR CUAL COMPROBANTE ES EL CORRECTO, POSIBLE ERROR DE NUMERACION EN UNO DE LOS DOS]</t>
  </si>
  <si>
    <t>F005-019033</t>
  </si>
  <si>
    <t>SERVICIO GRESCO S.A.C. - PAGO POR TRANSFERENCIA N 000007479 - MRS MARGO LOUISE PUGH</t>
  </si>
  <si>
    <t>FL05-00036295</t>
  </si>
  <si>
    <t>PALMA REAL S.A.C. (INKATERRA)</t>
  </si>
  <si>
    <t>ALOJAMIENTO PALMA REAL S.A.C. (INKATERRA), RESERVA 001-0000111062, GRUPO 260800005 - MRS MARGO LOUISE PUGH</t>
  </si>
  <si>
    <t>FC01-00008808</t>
  </si>
  <si>
    <t>INVERSIONES TRES POR OCHO S.A.C. (LAS QOLQAS)</t>
  </si>
  <si>
    <t>SERVICIO INVERSIONES TRES POR OCHO S.A.C. (LAS QOLQAS), RESERVA 126090 - ARBEL LEVI TAL - LEVI RESHEF [POSIBLE FILE 260800003, CONFIRMAR - VER TAMBIEN NOTA DE CREDITO FC01-1238 MISMO IMPORTE Y RESERVA]</t>
  </si>
  <si>
    <t>FM01-00004843</t>
  </si>
  <si>
    <t>CLABE ANDINA S.A.C. (SUMAQ MACHU PICCHU HOTEL)</t>
  </si>
  <si>
    <t>ALOJAMIENTO SUMAQ MACHU PICCHU HOTEL, FILE: 260800007 - HUESPED IOANNIS SARANTITIS. MEDIO DE PAGO: ANTICIPO NC 554.40</t>
  </si>
  <si>
    <t>F001-11458</t>
  </si>
  <si>
    <t>COMPAÃ‘IA HOTELERA BAMA S.A.C. (ANANAY HOTELS)</t>
  </si>
  <si>
    <t>ALOJAMIENTO COMPAÃ‘IA HOTELERA BAMA S.A.C. (ANANAY HOTELS), LOCALIZADOR 1771016842, HUESPEDES MENNO HERMAN WILLEMSEN - GELBRIG ANNA KROL. FORMA DE PAGO CREDITO, VENCE 25-08-2026 [POSIBLE FILE 260800004, CONFIRMAR]</t>
  </si>
  <si>
    <t>FA02-00001856</t>
  </si>
  <si>
    <t>MENU 3 TIEMPOS X2, FILE: 260800001 - MR DANIEL CONTENRAAD</t>
  </si>
  <si>
    <t>F006-00003152</t>
  </si>
  <si>
    <t>ALOJAMIENTO HOTELES LA HACIENDA S.A.C. (BAHIA PARACAS), FILE: 260800004 - MR MENNO WILLEMSEN X2</t>
  </si>
  <si>
    <t>F006-00003185</t>
  </si>
  <si>
    <t>TRANSPORTE HOTELES LA HACIENDA S.A.C. (BAHIA PARACAS), FILE: 260700010 - MRS SHANTI INDIRA PERSAUD X4</t>
  </si>
  <si>
    <t>F006-00003192</t>
  </si>
  <si>
    <t>TRANSPORTE ISLAS BALLESTAS, HOTELES LA HACIENDA S.A.C. (BAHIA PARACAS), FILE: 260700010 - MRS SHANTI INDIRA PERSAUD X4</t>
  </si>
  <si>
    <t>E001-7189</t>
  </si>
  <si>
    <t>SERVICIO DE TRANSPORTE TURISTICO ARCOBALENO, FILE: 260700010 - MSS AMANDA JANE GREIG [INCONSISTENCIA: OTRAS FACTURAS YA REGISTRADAS DEL MISMO FILE 260700010 (HOTELES LA HACIENDA) REFERENCIAN A SHANTI INDIRA PERSAUD, NO A AMANDA JANE GREIG - VERIFICAR CON COMPRAS]</t>
  </si>
  <si>
    <t>F001-10336</t>
  </si>
  <si>
    <t>TURISMO DE AVENTURA NATURA VIVE S.A.C., N FILE: 260800005, RESERVA 2026-1225 - MISMO FILE Y PASAJERO (PUGH-MARGO LOUISE) QUE GRESCO Y PALMA REAL</t>
  </si>
  <si>
    <t>E001-2031</t>
  </si>
  <si>
    <t>SERVICIO DE TRANSPORTE TURISTICO ETT HOUSE TOURS, FILE: 260700012 - GUZMAN REYES [DIFERENCIA IMPORTE (908.14) VS NETO (810.12) = 98.02 NO EXPLICADA POR NINGUNA SECCION DE DETRACCION VISIBLE EN EL PDF - VERIFICAR CON PROVEEDOR]</t>
  </si>
  <si>
    <t>E001-2661</t>
  </si>
  <si>
    <t>J &amp; R TURISMO E.I.R.L.</t>
  </si>
  <si>
    <t>SERVICIO DE TRANSPORTE TURISTICO J AND R TURISMO, FILE: 260600002 - MRS IDA CHOW (SERVICIOS DEL 16 AL 26 DE JUNIO 2026, FACTURA AGRUPA VARIAS FECHAS)</t>
  </si>
  <si>
    <t>E001-2662</t>
  </si>
  <si>
    <t>SERVICIO DE TRANSPORTE TURISTICO J AND R TURISMO, FILE: 260700017 - MR ALEXANDER DRIESSEN</t>
  </si>
  <si>
    <t>E001-2663</t>
  </si>
  <si>
    <t>SERVICIO DE TRANSPORTE TURISTICO J AND R TURISMO, FILE: 260700004 - MR EDUARD KIEBOOM</t>
  </si>
  <si>
    <t>F019-00032586</t>
  </si>
  <si>
    <t>ALOJAMIENTO NESSUS HOTELES (CASA ANDINA PREMIUM PUNO), RESERVA 10268-2026, HUESPED GIBSON ANDREW FORBES BUTLER, GRUPO 87952 AMANDA. FECHA DE PAGO INDICADA EN PDF: 13-09-2026</t>
  </si>
  <si>
    <t>F501-00156236</t>
  </si>
  <si>
    <t>ANTICIPO POR SERVICIO DE TRANSPORTE FERROVIARIO PUBLICO DE PASAJEROS - PERURAIL</t>
  </si>
  <si>
    <t>F005-00000550</t>
  </si>
  <si>
    <t>INVERSIONES VISO SRL (RESTAURANTE DECADAS)</t>
  </si>
  <si>
    <t>ALMUERZO-CENA LIMA 31-07-2026 - INVERSIONES VISO SRL (RESTAURANTE DECADAS) [FILE PENDIENTE DE ASIGNAR]</t>
  </si>
  <si>
    <t>E001-1302</t>
  </si>
  <si>
    <t>RESTAURANT BAHIA EQ SAC</t>
  </si>
  <si>
    <t>ALMUERZO PARACAS 29-07-2026 - RESTAURANT BAHIA EQ SAC [POSIBLE FILE 260700009, VIAJE LIMA-PARACAS-ICA 28 AL 31 DE JULIO 2026, CONFIRMAR]</t>
  </si>
  <si>
    <t>E001-1303</t>
  </si>
  <si>
    <t>ALMUERZO PARACAS 30-07-2026 - RESTAURANT BAHIA EQ SAC [POSIBLE FILE 260700009, VIAJE LIMA-PARACAS-ICA 28 AL 31 DE JULIO 2026, CONFIRMAR. MISMO COMPROBANTE ARCHIVADO DOS VECES CON DISTINTO NOMBRE DE ARCHIVO (boletaalmuerzo290726.pdf), CARGADO UNA SOLA VEZ]</t>
  </si>
  <si>
    <t>F11L-0000014893</t>
  </si>
  <si>
    <t>EMPRESA DE TRANSPORTES PERU BUS S.A.</t>
  </si>
  <si>
    <t>PASAJE BUS ICA-LIMA 28-07-2026, PERU BUS S.A. - PAX PAUL CATACORA RAMIREZ [POSIBLE FILE 260700009, CONFIRMAR]</t>
  </si>
  <si>
    <t>FA61-00008685</t>
  </si>
  <si>
    <t>EMP. TRANS. FLORES HNOS SRL</t>
  </si>
  <si>
    <t>PASAJE BUS LIMA-ICA 31-07-2026 SERVICIO DORADO VIP, FLORES HNOS SRL - PAX PAUL FRED CATACORA RAMIREZ [POSIBLE FILE 260700009, CONFIRMAR]</t>
  </si>
  <si>
    <t>F31M-0000000332</t>
  </si>
  <si>
    <t>PASAJE BUS PARACAS-ICA 28-07-2026, PERU BUS S.A. - PAX PAUL CATACORA RAMIREZ [POSIBLE FILE 260700009, CONFIRMAR]</t>
  </si>
  <si>
    <t>F31M-0000000333</t>
  </si>
  <si>
    <t>PASAJE BUS PARACAS-ICA 30-07-2026, PERU BUS S.A. - PAX PAUL CATACORA RAMIREZ [POSIBLE FILE 260700009, CONFIRMAR]</t>
  </si>
  <si>
    <t>F28M-0000000B182</t>
  </si>
  <si>
    <t>PASAJE BUS PISCO-ICA 29-07-2026, PERU BUS S.A. - PAX PAUL CATACORA RAMIREZ [POSIBLE FILE 260700009, CONFIRMAR. N DE COMPROBANTE CON CARACTER POCO LEGIBLE EN EL PDF (8 O B), VERIFICAR VISUALMENTE]</t>
  </si>
  <si>
    <t>E001-192</t>
  </si>
  <si>
    <t>SALMAD PERU SOCIEDAD ANONIMA CERRADA</t>
  </si>
  <si>
    <t>ALQUILER CAMIONETA SUV 1 DIA (04 AL 05 DE AGOSTO 2026) - SALMAD PERU S.A.C. [FILE PENDIENTE DE ASIGNAR]</t>
  </si>
  <si>
    <t>NOTA DE CREDITO</t>
  </si>
  <si>
    <t>FC01-00001238</t>
  </si>
  <si>
    <t>NOTA DE CREDITO POR RESERVA 126090 - TAL ARBEL LEVI - LEVI RESHEF, LAS QOLQAS. DOC. QUE MODIFICA: FP01-341 (15-07-2026) [OJO: NO COINCIDE CON LA FACTURA FC01-8808 REGISTRADA EN ESTE MISMO LOTE - NO ASUMIR QUE SE ANULAN ENTRE SI, CONFIRMAR CON PROVEEDOR. POSIBLE FILE 260800003]</t>
  </si>
  <si>
    <t>F001-0003289</t>
  </si>
  <si>
    <t>AERODIANA</t>
  </si>
  <si>
    <t>NOTA DE CREDITO AERODIANA - DEVOLUCION TOTAL DE FACTURA F001-79256 (31-07-2026)</t>
  </si>
  <si>
    <t>FC55-00002098</t>
  </si>
  <si>
    <t>NOTA DE CREDITO TIERRA VIVA HOTELS - RESERVA 5070-2026, HUESPED ARBEL LEVI TAL, GRUPO 10415. DOCUMENTO AFECTADO: F055-00002196 (REF. FACTURA 78972-001) [POSIBLE FILE 260800003]</t>
  </si>
  <si>
    <t>FF20-00003162</t>
  </si>
  <si>
    <t>NOTA DE CREDITO LA CASA DE BARRANCO (HOTEL B) - RESERVA 140303, REF. EDUARD KIEBOOM. DOC. QUE MODIFICA: F021-4555 (25-06-2026, ANULACION) [INCONSISTENCIA: LA FACTURA F020-00016435 YA REGISTRADA (MISMA RESERVA 140303, MISMO PROVEEDOR) REFERENCIA A DE WILDE TAKENS TJAAKJE-TAKENS ROBERT JAN, NO A KIEBOOM - VERIFICAR CON PROVEEDOR]</t>
  </si>
  <si>
    <t>E001- 546</t>
  </si>
  <si>
    <t>CARRASCO ALEGRE ROLLY VICTOR</t>
  </si>
  <si>
    <t>Guiado Mr Ioannis Sarantitis x 3, File 260800007, 17-08-26. [INCONSISTENCIA: recibo indica Retencion 8% IR pero el monto impreso es 0.00 - Total Neto Recibido = Total por Honorarios]</t>
  </si>
  <si>
    <t>F302-00029273</t>
  </si>
  <si>
    <t>INVERSIONES NACIONALES DE TURISMO S.A. (Palacio del Inka Hotel)</t>
  </si>
  <si>
    <t>Alojamiento 3 noches, huesped Ioannis Sarantitis, hab 353, Conf. N 7061107. [POSIBLE FILE 260800007, CONFIRMAR - mismo huesped que RHE Carrasco Alegre E001-546 y RHE Sarmiento E001-505]</t>
  </si>
  <si>
    <t>F302-00001674</t>
  </si>
  <si>
    <t>NOTA DE CREDITO - anulacion de operacion, en su reemplazo F302-29273. Doc. modificado F303-00020384 (22/07/2026). Huesped Fam Tucano, hab 353. [POSIBLE FILE 260800007, CONFIRMAR]</t>
  </si>
  <si>
    <t>F078-00047775</t>
  </si>
  <si>
    <t>NESSUS HOTELES PERU S.A. (Casa Andina Select Arequipa)</t>
  </si>
  <si>
    <t>Alojamiento 2 noches, huesped Gibsonandrew Forbes Butler, hab 420, Grupo 48209 MRS SHANTI. File 260700010 impreso en el comprobante.</t>
  </si>
  <si>
    <t>F078-00006828</t>
  </si>
  <si>
    <t>PERUVIAN TOURS AGENCY SOCIEDAD ANONIMA CERRADA (Hotel Colca - Aranwa)</t>
  </si>
  <si>
    <t>Suite 2 noches, huespedes Willemsen Menno y Krol Gelbrig Anna, Reserva 4517/2026.</t>
  </si>
  <si>
    <t>F001-00011117</t>
  </si>
  <si>
    <t>TIERRA NOBLE S.A.C. (Mayta)</t>
  </si>
  <si>
    <t>Experiencia gastronomica x3 (Experiencia TIE, maridaje), pagado con Tarj. Visa al momento. Sin referencia a file en el comprobante.</t>
  </si>
  <si>
    <t>CREES-260918LAN</t>
  </si>
  <si>
    <t>CREES MANU SAC</t>
  </si>
  <si>
    <t>The Legacy Traveller program 6D5N, 1 Hab Matrimonial + 1 Hab Twin, 4 pax, 18-23 sep 2026. CREES FILE: 260918LAN - Ronald Lane. [N COMPROBANTE CONSTRUIDO - el documento no trae serie/numero SUNAT, es un invoice interno de Crees Manu SAC, confirmado con Gabriel] [POSIBLE FILE relacionado a 260918LAN, CONFIRMAR - referencia interna de Crees, no formato Spal de 9 digitos]</t>
  </si>
  <si>
    <t>E001- 503</t>
  </si>
  <si>
    <t>Servicio turistico prestado al File 260700009 CRUIJSSEN x4, 11,12 y 27 de julio 2026.</t>
  </si>
  <si>
    <t>E001- 504</t>
  </si>
  <si>
    <t>Servicio turistico prestado al File 260700017 ALEXANDER DRIESSEN x3, 15,16,26 y 27 de julio.</t>
  </si>
  <si>
    <t>E001- 505</t>
  </si>
  <si>
    <t>Servicio turistico prestado al File 260800007 MR IOANNIS SARANTITIS x3, 09-08-2026, 11-08-2026.</t>
  </si>
  <si>
    <t>F007-00024484</t>
  </si>
  <si>
    <t>HOTELERIA PERUANA S.A.C. (Tierra Viva Hotels)</t>
  </si>
  <si>
    <t>Alojamiento 2 noches, huesped Persaud Shanti Indira +3 (Greig, Palmer, Mathews), Grupo 5513 MRS SHANTI INDIRA PERSAUD, Reserva 2410/2026. File 260700010 impreso en Ordenes de compra del comprobante.</t>
  </si>
  <si>
    <t>F006-00003227</t>
  </si>
  <si>
    <t>HOTELES LA HACIENDA S.A.C. (Bahia Paracas)</t>
  </si>
  <si>
    <t>Alojamiento 1 noche, huesped Gibson Deborah Anne, pasaporte 124085392, hab 3114, Conf. No 19812727. [INCONSISTENCIA: T.Reg.Nro impreso dice 260700010 - MRS SHANTI INDIRA PERSAUD pero Observaciones dice FILE: 26070001 - GIBSON DEBORAH ANNE x02 (huesped real del comprobante); 26070001 no tiene el formato Spal de 9 digitos. File dejado en blanco, CONFIRMAR con Gabriel cual es el correcto]</t>
  </si>
  <si>
    <t>E001-166</t>
  </si>
  <si>
    <t>SUITO DONGO EDUARDO LUIS</t>
  </si>
  <si>
    <t>Servicio de tesoreria - julio 2026. Forma de pago: Credito, 1 cuota, vencimiento 30-07-2026.</t>
  </si>
  <si>
    <t>F002-813</t>
  </si>
  <si>
    <t>TURISMO Y CONSERVACION SAC (Amazon Journeys)</t>
  </si>
  <si>
    <t>Anticipo de alojamiento Sep 17 al 23 2026 (Tambopata). Observacion en el documento: ANTICIPO. Sin referencia a file en el comprobante.</t>
  </si>
  <si>
    <t>E001-111</t>
  </si>
  <si>
    <t>Servicio cocina. [INCONSISTENCIA: recibo indica Retencion 8% IR pero el monto impreso es 0.00 - Total Neto Recibido = Total por Honorarios] [POSIBLE continuacion de File 260700012, mismo proveedor que fila E001-109 'COCINA PERSONALIZADA', CONFIRMAR - no viene file explicito en este comprobante]</t>
  </si>
  <si>
    <t>F501-00157022</t>
  </si>
  <si>
    <t>Anticipo por Servicio de transporte ferroviario publico de pasajeros. Campos Nro. File y Nro. Reserva vienen vacios en el comprobante.</t>
  </si>
  <si>
    <t>F011-30391</t>
  </si>
  <si>
    <t>Pachamanca Lunch 21-08-2026, huesped Mr Menno Herman Willemsen x2, pago via transferencia 12-Agosto. File 260800004 impreso en Observaciones.</t>
  </si>
  <si>
    <t>F003-00002785</t>
  </si>
  <si>
    <t>Transporte Islas Ballestas, huesped Gibson Deborah Anne, pasaporte 124085392, hab 3114, Conf. No 19812727. [INCONSISTENCIA IGUAL A LA FILA F006-00003227 de la corrida anterior: T.Reg.Nro impreso dice 260700010 - MRS SHANTI INDIRA PERSAUD pero Observaciones dice FILE: 26070001 - GIBSON DEBORAH ANNE x02, mismo texto exacto que en el comprobante anterior de este mismo proveedor/huesped. File dejado en blanco, CONFIRMAR con Gabriel]</t>
  </si>
  <si>
    <t>E001- 556</t>
  </si>
  <si>
    <t>Servicio de asistencia y guiado en Pongobamba, Moray y Salar de Maras el 05 jul. Viaticos Cusco - Valle Sagrado. Paxs: Mrs Rukmani Chopra. [INCONSISTENCIA: recibo indica Retencion 8% IR pero el monto impreso es 0.00 - Total Neto Recibido = Total por Honorarios]</t>
  </si>
  <si>
    <t>E001- 557</t>
  </si>
  <si>
    <t>Servicio de traslado y guiado aeropuerto Cusco a Valle Sagrado y guiado en Salar de Maras, Moray y Ollantaytambo el 20 y 21 jul. Viaticos Urubamba-Cusco y Cusco-Urubamba. Paxs: Mr Jeremy Lewis Evans. [INCONSISTENCIA: recibo indica Retencion 8% IR pero el monto impreso es 0.00]</t>
  </si>
  <si>
    <t>E001- 558</t>
  </si>
  <si>
    <t>Servicio de traslado del aeropuerto a Valle Sagrado y guiado en Pisac. Paxs: Kieboom. [INCONSISTENCIA: recibo indica Retencion 8% IR pero el monto impreso es 0.00]</t>
  </si>
  <si>
    <t>E001- 32</t>
  </si>
  <si>
    <t>NIKOLSKAIA VALENTINA</t>
  </si>
  <si>
    <t>Servicio de guiado en privado. [INCONSISTENCIA: recibo indica Retencion 8% IR pero el monto impreso es 0.00]</t>
  </si>
  <si>
    <t>E001- 542</t>
  </si>
  <si>
    <t>Asistencia Mss Carolyn Marie Reyes File:260700012 30-07-26. Guiado de Ollantaytambo y Museo Inkari 31-07-26. [INCONSISTENCIA: recibo indica Retencion 8% IR pero el monto impreso es 0.00 - Total Neto Recibido = Total por Honorarios]</t>
  </si>
  <si>
    <t>E001-324</t>
  </si>
  <si>
    <t>LUXURY ADVENTURE CUSCO PERU E.I.R.L.</t>
  </si>
  <si>
    <t>ATENCION FILE 260100003 SERVICIO DE ASISTENCIA EN CUSCO DEL 6 AL 10 DE FEBRERO</t>
  </si>
  <si>
    <t>E001-325</t>
  </si>
  <si>
    <t>ATENCION FILE 260500001 SERVICIO DE ASISTENCIA EN CUSCO DEL 4 AL 6 DE MAYO</t>
  </si>
  <si>
    <t>E001-326</t>
  </si>
  <si>
    <t>ATENCION FILE 260500002 SERVICIO DE ASISTENCIA EN CUSCO DEL 30 AL 6 DE JUNIO. Detraccion 12% impresa en el documento como S/93.00 (deposito SPOT en soles, TC del dia) - columna Detraccion aqui calculada en USD como Importe-Neto.</t>
  </si>
  <si>
    <t>E001-327</t>
  </si>
  <si>
    <t>ATENCION FILE 260500003 SERVICIO DE ASISTENCIA EN CUSCO DEL 10 AL 13 DE MAYO</t>
  </si>
  <si>
    <t>E001-328</t>
  </si>
  <si>
    <t>ATENCION FILE 260500005 SERVICIO DE ASISTENCIA EN CUSCO DEL 12 AL 15 DE MAYO</t>
  </si>
  <si>
    <t>E001-329</t>
  </si>
  <si>
    <t>ATENCION FILE 260500007 SERVICIO DE ASISTENCIA EN CUSCO DEL 5 AL 15 DE MAYO. Detraccion 12% impresa en el documento como S/86.00 (deposito SPOT en soles, TC del dia) - columna Detraccion aqui calculada en USD como Importe-Neto.</t>
  </si>
  <si>
    <t>E001-330</t>
  </si>
  <si>
    <t>ATENCION FILE 260500009 SERVICIO DE ASISTENCIA EN CUSCO DEL 3 AL 7 DE MAYO</t>
  </si>
  <si>
    <t>E001-331</t>
  </si>
  <si>
    <t>ATENCION FILE 260500012 SERVICIO DE ASISTENCIA EN CUSCO DEL 5 AL 10 DE MAYO</t>
  </si>
  <si>
    <t>E001-332</t>
  </si>
  <si>
    <t>ATENCION FILE 260500013 SERVICIO DE ASISTENCIA EN CUSCO DEL 29 DE MAYO AL 1 DE JUNIO</t>
  </si>
  <si>
    <t>E001-333</t>
  </si>
  <si>
    <t>ATENCION FILE 260500014 SERVICIO DE ASISTENCIA EN CUSCO DEL 24 AL 27 DE MAYO</t>
  </si>
  <si>
    <t>E001-334</t>
  </si>
  <si>
    <t>ATENCION FILE 260500015 SERVICIO DE ASISTENCIA EN CUSCO DEL 19 AL 23 DE MAYO</t>
  </si>
  <si>
    <t>E001-335</t>
  </si>
  <si>
    <t>ATENCION FILE 260500016 SERVICIO DE ASISTENCIA EN CUSCO DEL 26 DE MAYO AL 2 DE JUNIO</t>
  </si>
  <si>
    <t>Valor_Venta</t>
  </si>
  <si>
    <t>IGV</t>
  </si>
  <si>
    <t>Afectacion</t>
  </si>
  <si>
    <t>Codigo_SPOT</t>
  </si>
  <si>
    <t>Detraccion_PEN</t>
  </si>
  <si>
    <t>F001-00005653</t>
  </si>
  <si>
    <t>COMISION DE PROMOCION DEL PERU PARA LA EXPORTACION Y EL TURISMO - PROMPERU</t>
  </si>
  <si>
    <t>Participacion en la Feria WTM Londres 2026 (03 al 05-11-2026), Londres, Reino Unido. Codigo FIT03. Contado.</t>
  </si>
  <si>
    <t>GRAVADO</t>
  </si>
  <si>
    <t>037</t>
  </si>
  <si>
    <t>FL09-00136064</t>
  </si>
  <si>
    <t>INKA TERRA PERU S.A.C. (INKATERRA MACHU PICCHU PUEBLO HOTEL)</t>
  </si>
  <si>
    <t>Hab.-Grupo 025-260800003 MRS TAL ARBEL LEVI. Reserva 001-0000399979. Ingreso 16-08 salida 18-08-2026. 2 SUP MAT, 4 cenas a la carta, 4 desayunos buffet. Exportacion de servicios D. Leg. 919. [Otros cargos USD 73.36 incluidos en Valor_Venta: el PDF los lista aparte del valor de exportacion 733.60]</t>
  </si>
  <si>
    <t>EXPORTACION</t>
  </si>
  <si>
    <t>N/A</t>
  </si>
  <si>
    <t>F078-00006851</t>
  </si>
  <si>
    <t>PERUVIAN TOURS AGENCY S.A.C. (ARANWA - HOTEL COLCA)</t>
  </si>
  <si>
    <t>Hotel Colca. Reserva 5233-2026, grupo 9181 SHANTI INDIRA PERSAUD, huesped GIBSON DEBORAH ANNE +5. Check-in 14-08 check-out 16-08-2026. Cenas, almuerzos y habitaciones. Exportacion de servicios D. Leg. 919. [Otros cargos USD 85.09 incluidos en Valor_Venta] [POSIBLE FILE 260700010 por el grupo Persaud, CONFIRMAR]</t>
  </si>
  <si>
    <t>F007-00024508</t>
  </si>
  <si>
    <t>Alojamiento 1 noche, huesped GIBSON DEBORAH ANNE, grupo 5513 MRS SHANTI INDIRA PERSAUD, reserva 2964-2026, 19 al 20-08-2026. File 260700010 impreso en Ordenes de compra. Exportacion de servicios D. Leg. 919.</t>
  </si>
  <si>
    <t>F008-00035739</t>
  </si>
  <si>
    <t>Alojamiento 2 noches, huespedes LEVI RESHEF y ARBEL LEVI TAL, grupo 10415 TAL ARBEL LEVI, reserva 5071-2026, 18 al 20-08-2026. Orden de compra 260800003. Exportacion de servicios D. Leg. 919.</t>
  </si>
  <si>
    <t>F003-00017125</t>
  </si>
  <si>
    <t>CCM HOTEL GROUP S.A.C. (CASA REPUBLICA BARRANCO)</t>
  </si>
  <si>
    <t>Alojamiento 1 noche, huesped BETTENS STEVEN, reserva 305-2026, hab 104, llegada 05-09 salida 06-09-2026. IGV 10.5 por ciento (tasa reducida de hospedaje). Pagado con transferencia BBVA OP 0012049. [POSIBLE FILE 260900003 segun el nombre del archivo de la constancia bancaria, CONFIRMAR: no figura en el comprobante]</t>
  </si>
  <si>
    <t>F003-00017127</t>
  </si>
  <si>
    <t>Alojamiento 1 noche, huespedes CONTENRAAD DANIEL y MUELLER BIANCA, reserva 4067-2025, hab 202, 20 al 21-08-2026. Exportacion de servicios D. Leg. 919. Cancelada con Nota de Credito FNC3-1843 (USD 230.00).</t>
  </si>
  <si>
    <t>FNC3-00001843</t>
  </si>
  <si>
    <t>Nota de credito por anulacion de operacion (tipo 01). Documento afectado F003-00016967, que no esta cargado en esta tabla. Huesped CONTENRAAD DANIEL, reserva 4067-2025, hab 202. IGV 10.5 por ciento.</t>
  </si>
  <si>
    <t>E001-7201</t>
  </si>
  <si>
    <t>Servicio de transporte turistico MR MENNO HERMAN WILLEMSEN X2. 19-08-2026 exc. Uros-Taquile servicio SIC lancha rapida mas guia PC. 20-08-2026 TRF OUT hotel a estacion de tren. FILE 260800004 impreso en Observacion. Credito 1 cuota al 25-08-2026.</t>
  </si>
  <si>
    <t>E001-658</t>
  </si>
  <si>
    <t>WAQANKI ECOLODGE S.A.C.</t>
  </si>
  <si>
    <t>4 habitaciones matrimoniales mas 8 habitaciones simples (staff). Moyobamba, San Martin. Contado. [AFECTACION POR CONFIRMAR: el PDF muestra IGV 0.00 pero no imprime ninguna leyenda de exoneracion ni de exportacion. Posible exoneracion de Amazonia; confirmar antes de registrarla contablemente]</t>
  </si>
  <si>
    <t>POR CLASIFICAR</t>
  </si>
  <si>
    <t>E001-734</t>
  </si>
  <si>
    <t>COCK OF THE ROCK LODGE SOCIEDAD ANONIMA CERRADA - CORL S.A.C</t>
  </si>
  <si>
    <t>Atencion de paxs 26-SEP-14 MR PETER BOYD RILEY, in 13-09 out 17-09, 02 paxs mas G mas CH, alojamiento y alimentacion. Sec. San Pedro Km 156, Kosnipata, Paucartambo, Cusco. Observacion del comprobante: bienes transferidos y servicios prestados en la Amazonia para ser consumidos en la misma (exonerado de IGV).</t>
  </si>
  <si>
    <t>EXONERADO</t>
  </si>
  <si>
    <t>E001-700</t>
  </si>
  <si>
    <t>CUELLAR ANDRES MANUEL ELMER</t>
  </si>
  <si>
    <t>Servicio de movilidad ejecutiva, usuario MR DANIEL CONTENRAAD. Detraccion 10 por ciento codigo 026 transporte de personas. Contado. [NETO CALCULADO: PDF NO TRAE MONTO NETO IMPRESO (CONTADO SIN BLOQUE DE CREDITO), SE USO DETRACCION 10 POR CIENTO SOBRE IMPORTE]</t>
  </si>
  <si>
    <t>026</t>
  </si>
  <si>
    <t>E001- 743</t>
  </si>
  <si>
    <t>Servicio de asistencia y guiado turistico a disposicion en viaje Lima-Paracas-Lima del 12 al 14 de agosto 2026. REF FILE 260800004 MENNO WILLEMSEN X 2 PASAJEROS. Al credito, 1 cuota al 26-08-2026. [INCONSISTENCIA: recibo indica Retencion 8 por ciento IR pero el monto impreso es 0.00 - Total Neto Recibido = Total por Honorarios] [El nombre del archivo dice 12AGO pero la fecha de emision impresa es 16-08-2026]</t>
  </si>
  <si>
    <t>E001- 744</t>
  </si>
  <si>
    <t>Asistencia en el viaje y guiado turistico a disposicion el 16 y 17 de agosto 2026. REF FILE 260700010 AMANDA JANE GREIG. Al credito, 1 cuota al 31-08-2026. [INCONSISTENCIA: recibo indica Retencion 8 por ciento IR pero el monto impreso es 0.00 - Total Neto Recibido = Total por Honorarios] [El nombre del archivo dice 16AGO pero la fecha de emision impresa es 17-08-2026]</t>
  </si>
  <si>
    <t>028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</si>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</sst>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16" fontId="0" fillId="0" borderId="0" xfId="0" applyNumberFormat="1"/>
    <xf numFmtId="0" fontId="0" fillId="0" borderId="0" xfId="0" applyAlignment="1">
      <alignment wrapText="1"/>
    </xf>
    <xf numFmtId="43" fontId="0" fillId="3" borderId="0" xfId="1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43" fontId="0" fillId="4" borderId="0" xfId="1" applyFont="1" applyFill="1"/>
    <xf numFmtId="0" fontId="0" fillId="5" borderId="0" xfId="0" applyFill="1"/>
    <xf numFmtId="14" fontId="0" fillId="5" borderId="0" xfId="0" applyNumberFormat="1" applyFill="1"/>
    <xf numFmtId="43" fontId="0" fillId="5" borderId="0" xfId="1" applyFont="1" applyFill="1"/>
    <xf numFmtId="43" fontId="0" fillId="0" borderId="0" xfId="1" applyFont="1" applyFill="1"/>
    <xf numFmtId="49" fontId="0" fillId="3" borderId="0" xfId="0" applyNumberFormat="1" applyFill="1"/>
    <xf numFmtId="164" fontId="2" fillId="2" borderId="3" xfId="0" applyNumberFormat="1" applyFont="1" applyFill="1" applyBorder="1"/>
    <xf numFmtId="164" fontId="0" fillId="0" borderId="0" xfId="0" applyNumberFormat="1"/>
    <xf numFmtId="164" fontId="0" fillId="3" borderId="0" xfId="0" applyNumberFormat="1" applyFill="1"/>
    <xf numFmtId="164" fontId="2" fillId="2" borderId="2" xfId="0" applyNumberFormat="1" applyFont="1" applyFill="1" applyBorder="1"/>
    <xf numFmtId="49" fontId="0" fillId="0" borderId="0" xfId="0" applyNumberFormat="1"/>
    <xf numFmtId="49" fontId="0" fillId="4" borderId="0" xfId="0" applyNumberFormat="1" applyFill="1"/>
    <xf numFmtId="49" fontId="0" fillId="5" borderId="0" xfId="0" applyNumberFormat="1" applyFill="1"/>
  </cellXfs>
  <cellStyles count="2">
    <cellStyle name="Millares" xfId="1" builtinId="3"/>
    <cellStyle name="Normal" xfId="0" builtinId="0"/>
  </cellStyles>
  <dxfs count="15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CB715-6FF4-473C-9DE6-38FFD489315E}" name="Tabla1" displayName="Tabla1" ref="A1:S232" totalsRowShown="0" headerRowDxfId="14" headerRowBorderDxfId="13" tableBorderDxfId="12">
  <autoFilter ref="A1:S232" xr:uid="{A85CB715-6FF4-473C-9DE6-38FFD489315E}">
    <filterColumn colId="4">
      <filters>
        <dateGroupItem year="2026" month="8" dateTimeGrouping="month"/>
      </filters>
    </filterColumn>
  </autoFilter>
  <sortState xmlns:xlrd2="http://schemas.microsoft.com/office/spreadsheetml/2017/richdata2" ref="A2:N205">
    <sortCondition ref="G1:G205"/>
  </sortState>
  <tableColumns count="19">
    <tableColumn id="1" xr3:uid="{69F36EC7-0988-44DD-832A-071725495938}" name="File"/>
    <tableColumn id="2" xr3:uid="{53D8B967-AF2C-4E46-BA7E-3427A9548C7B}" name="Tipo"/>
    <tableColumn id="13" xr3:uid="{304E745E-FAE2-4DF3-BB5F-DE3F115E3D67}" name="Tipo_Comprobante"/>
    <tableColumn id="14" xr3:uid="{A4DA1490-A4D0-4718-BA0A-27EA9E2C0212}" name="N°_Comprobante"/>
    <tableColumn id="3" xr3:uid="{2B88C83E-6D97-4976-946B-D2855B6AFB3B}" name="FechaEmision" dataDxfId="11"/>
    <tableColumn id="4" xr3:uid="{B2880A63-C012-4253-9527-D91549C8356A}" name="RUC"/>
    <tableColumn id="5" xr3:uid="{67BD842F-AE7F-4612-8574-2A477E67C1C1}" name="Proveedor"/>
    <tableColumn id="6" xr3:uid="{8BE2E30B-F25C-44A7-B70E-2C27EEBCF5BB}" name="Moneda"/>
    <tableColumn id="7" xr3:uid="{2F1E2B0B-DE6D-4A89-AF81-81A3AEFD381C}" name="Importe" dataDxfId="10" dataCellStyle="Millares"/>
    <tableColumn id="8" xr3:uid="{9692C5CB-B197-434E-BF38-820A07791883}" name="Detracción" dataDxfId="9" dataCellStyle="Millares">
      <calculatedColumnFormula>+Tabla1[[#This Row],[Importe]]*0.12</calculatedColumnFormula>
    </tableColumn>
    <tableColumn id="9" xr3:uid="{AFB09F0D-09F1-4C98-9261-1F58AB9D4C70}" name="Neto" dataDxfId="8" dataCellStyle="Millares">
      <calculatedColumnFormula>+I2-J2</calculatedColumnFormula>
    </tableColumn>
    <tableColumn id="10" xr3:uid="{6AA426DA-3808-4574-8760-A199A65B84E8}" name="FechaVcto" dataDxfId="7"/>
    <tableColumn id="11" xr3:uid="{1EE5BC2F-B074-4145-A84C-4C5BFF5DF763}" name="Estado" dataDxfId="6"/>
    <tableColumn id="12" xr3:uid="{F6FD6390-3877-48EB-B37B-D3A280C78B01}" name="Detalle" dataDxfId="5"/>
    <tableColumn id="15" xr3:uid="{AFBB83D3-1A9F-4BD4-9982-28AECD2BA9D0}" name="Valor_Venta" dataDxfId="4"/>
    <tableColumn id="16" xr3:uid="{468BCC9D-0FAE-4D85-A866-723E20E7EE81}" name="IGV" dataDxfId="3"/>
    <tableColumn id="17" xr3:uid="{82E3D26D-C761-4461-8EDC-7309A73826A3}" name="Afectacion" dataDxfId="2"/>
    <tableColumn id="18" xr3:uid="{8449AE71-2786-4F2D-841A-9CE7D5A81126}" name="Codigo_SPOT" dataDxfId="1"/>
    <tableColumn id="19" xr3:uid="{06E4FC0C-41E5-4A80-A4B6-33F2108FE468}" name="Detraccion_PE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5870-67B4-4F62-8213-E2FAE112F7AD}">
  <dimension ref="A1:XFD232"/>
  <sheetViews>
    <sheetView showGridLines="0" tabSelected="1" topLeftCell="D1" zoomScale="85" zoomScaleNormal="85" workbookViewId="0">
      <selection activeCell="R1" sqref="R1"/>
    </sheetView>
  </sheetViews>
  <sheetFormatPr baseColWidth="10" defaultRowHeight="15" x14ac:dyDescent="0.25"/>
  <cols>
    <col min="1" max="2" width="16.140625" bestFit="1" customWidth="1"/>
    <col min="3" max="3" width="20.5703125" bestFit="1" customWidth="1"/>
    <col min="4" max="4" width="19" bestFit="1" customWidth="1"/>
    <col min="5" max="5" width="12" style="19" bestFit="1" customWidth="1"/>
    <col min="6" max="6" width="12" bestFit="1" customWidth="1"/>
    <col min="7" max="7" width="34.5703125" bestFit="1" customWidth="1"/>
    <col min="8" max="8" width="10.42578125" bestFit="1" customWidth="1"/>
    <col min="9" max="9" width="9.5703125" bestFit="1" customWidth="1"/>
    <col min="10" max="10" width="12.42578125" customWidth="1"/>
    <col min="11" max="11" width="9.5703125" bestFit="1" customWidth="1"/>
    <col min="12" max="12" width="12.5703125" style="19" bestFit="1" customWidth="1"/>
    <col min="13" max="13" width="9.42578125" bestFit="1" customWidth="1"/>
    <col min="14" max="14" width="94.42578125" bestFit="1" customWidth="1"/>
  </cols>
  <sheetData>
    <row r="1" spans="1:19" x14ac:dyDescent="0.25">
      <c r="A1" s="3" t="s">
        <v>0</v>
      </c>
      <c r="B1" s="4" t="s">
        <v>1</v>
      </c>
      <c r="C1" s="4" t="s">
        <v>18</v>
      </c>
      <c r="D1" s="4" t="s">
        <v>23</v>
      </c>
      <c r="E1" s="18" t="s">
        <v>6</v>
      </c>
      <c r="F1" s="4" t="s">
        <v>9</v>
      </c>
      <c r="G1" s="4" t="s">
        <v>2</v>
      </c>
      <c r="H1" s="4" t="s">
        <v>3</v>
      </c>
      <c r="I1" s="4" t="s">
        <v>10</v>
      </c>
      <c r="J1" s="4" t="s">
        <v>13</v>
      </c>
      <c r="K1" s="4" t="s">
        <v>14</v>
      </c>
      <c r="L1" s="21" t="s">
        <v>4</v>
      </c>
      <c r="M1" s="4" t="s">
        <v>245</v>
      </c>
      <c r="N1" s="4" t="s">
        <v>5</v>
      </c>
      <c r="O1" s="4" t="s">
        <v>543</v>
      </c>
      <c r="P1" s="4" t="s">
        <v>544</v>
      </c>
      <c r="Q1" s="4" t="s">
        <v>545</v>
      </c>
      <c r="R1" s="4" t="s">
        <v>546</v>
      </c>
      <c r="S1" s="4" t="s">
        <v>547</v>
      </c>
    </row>
    <row r="2" spans="1:19" x14ac:dyDescent="0.25">
      <c r="B2" t="s">
        <v>17</v>
      </c>
      <c r="C2" t="s">
        <v>451</v>
      </c>
      <c r="D2" t="s">
        <v>454</v>
      </c>
      <c r="E2" s="2">
        <v>46245</v>
      </c>
      <c r="F2">
        <v>20510815522</v>
      </c>
      <c r="G2" t="s">
        <v>455</v>
      </c>
      <c r="H2" t="s">
        <v>27</v>
      </c>
      <c r="I2" s="1">
        <v>-588</v>
      </c>
      <c r="J2" s="1">
        <f>+Tabla1[[#This Row],[Importe]]*0.12</f>
        <v>-70.56</v>
      </c>
      <c r="K2" s="1">
        <v>-588</v>
      </c>
      <c r="L2" s="2"/>
      <c r="M2" s="2"/>
      <c r="N2" t="s">
        <v>456</v>
      </c>
      <c r="O2">
        <v>-498.31</v>
      </c>
      <c r="P2">
        <v>-89.69</v>
      </c>
      <c r="Q2" t="s">
        <v>551</v>
      </c>
      <c r="R2" s="22" t="s">
        <v>557</v>
      </c>
    </row>
    <row r="3" spans="1:19" hidden="1" x14ac:dyDescent="0.25">
      <c r="A3">
        <v>260700012</v>
      </c>
      <c r="B3" t="s">
        <v>17</v>
      </c>
      <c r="C3" t="s">
        <v>22</v>
      </c>
      <c r="D3" t="s">
        <v>315</v>
      </c>
      <c r="E3" s="2">
        <f>DATE(2026,7,30)</f>
        <v>46233</v>
      </c>
      <c r="F3">
        <v>20442088811</v>
      </c>
      <c r="G3" t="s">
        <v>316</v>
      </c>
      <c r="H3" t="s">
        <v>27</v>
      </c>
      <c r="I3" s="1">
        <v>564</v>
      </c>
      <c r="J3" s="1"/>
      <c r="K3" s="1">
        <v>564</v>
      </c>
      <c r="L3" s="2">
        <f>DATE(2026,7,30)</f>
        <v>46233</v>
      </c>
      <c r="M3" s="2"/>
      <c r="N3" t="s">
        <v>317</v>
      </c>
    </row>
    <row r="4" spans="1:19" hidden="1" x14ac:dyDescent="0.25">
      <c r="A4">
        <v>260700012</v>
      </c>
      <c r="B4" t="s">
        <v>17</v>
      </c>
      <c r="C4" t="s">
        <v>22</v>
      </c>
      <c r="D4" t="s">
        <v>318</v>
      </c>
      <c r="E4" s="2">
        <f>DATE(2026,7,30)</f>
        <v>46233</v>
      </c>
      <c r="F4">
        <v>20442088811</v>
      </c>
      <c r="G4" t="s">
        <v>316</v>
      </c>
      <c r="H4" t="s">
        <v>27</v>
      </c>
      <c r="I4" s="1">
        <v>200</v>
      </c>
      <c r="J4" s="1"/>
      <c r="K4" s="1">
        <v>200</v>
      </c>
      <c r="L4" s="2">
        <f>DATE(2026,7,30)</f>
        <v>46233</v>
      </c>
      <c r="M4" s="2"/>
      <c r="N4" t="s">
        <v>319</v>
      </c>
    </row>
    <row r="5" spans="1:19" x14ac:dyDescent="0.25">
      <c r="A5" s="8">
        <v>260800004</v>
      </c>
      <c r="B5" s="8" t="s">
        <v>17</v>
      </c>
      <c r="C5" s="8" t="s">
        <v>22</v>
      </c>
      <c r="D5" s="8" t="s">
        <v>503</v>
      </c>
      <c r="E5" s="9">
        <f>DATE(2026,8,19)</f>
        <v>46253</v>
      </c>
      <c r="F5" s="8">
        <v>20442088811</v>
      </c>
      <c r="G5" s="8" t="s">
        <v>316</v>
      </c>
      <c r="H5" s="8" t="s">
        <v>27</v>
      </c>
      <c r="I5" s="7">
        <v>114</v>
      </c>
      <c r="J5" s="7"/>
      <c r="K5" s="7">
        <v>114</v>
      </c>
      <c r="L5" s="9">
        <f>DATE(2026,8,19)</f>
        <v>46253</v>
      </c>
      <c r="M5" s="9"/>
      <c r="N5" s="8" t="s">
        <v>504</v>
      </c>
      <c r="O5" s="8">
        <v>89.06</v>
      </c>
      <c r="P5" s="8">
        <v>16.03</v>
      </c>
      <c r="Q5" s="8" t="s">
        <v>551</v>
      </c>
      <c r="R5" s="17" t="s">
        <v>557</v>
      </c>
      <c r="S5" s="8"/>
    </row>
    <row r="6" spans="1:19" x14ac:dyDescent="0.25">
      <c r="A6">
        <v>260700012</v>
      </c>
      <c r="B6" t="s">
        <v>17</v>
      </c>
      <c r="C6" t="s">
        <v>7</v>
      </c>
      <c r="D6" t="s">
        <v>24</v>
      </c>
      <c r="E6" s="2">
        <v>46239</v>
      </c>
      <c r="F6">
        <v>10731722124</v>
      </c>
      <c r="G6" t="s">
        <v>8</v>
      </c>
      <c r="H6" t="s">
        <v>11</v>
      </c>
      <c r="I6" s="1">
        <v>1575</v>
      </c>
      <c r="J6" s="1"/>
      <c r="K6" s="1">
        <f>+I6-J6</f>
        <v>1575</v>
      </c>
      <c r="L6" s="2">
        <v>46239</v>
      </c>
      <c r="M6" s="2"/>
      <c r="N6" t="s">
        <v>12</v>
      </c>
      <c r="O6">
        <v>1575</v>
      </c>
      <c r="P6">
        <v>0</v>
      </c>
      <c r="Q6" t="s">
        <v>7</v>
      </c>
      <c r="R6" s="22" t="s">
        <v>557</v>
      </c>
    </row>
    <row r="7" spans="1:19" x14ac:dyDescent="0.25">
      <c r="A7" s="8">
        <v>260700012</v>
      </c>
      <c r="B7" s="8" t="s">
        <v>17</v>
      </c>
      <c r="C7" s="8" t="s">
        <v>7</v>
      </c>
      <c r="D7" s="8" t="s">
        <v>499</v>
      </c>
      <c r="E7" s="9">
        <f>DATE(2026,8,13)</f>
        <v>46247</v>
      </c>
      <c r="F7" s="8">
        <v>10731722124</v>
      </c>
      <c r="G7" s="8" t="s">
        <v>8</v>
      </c>
      <c r="H7" s="8" t="s">
        <v>11</v>
      </c>
      <c r="I7" s="7">
        <v>160</v>
      </c>
      <c r="J7" s="7"/>
      <c r="K7" s="7">
        <v>160</v>
      </c>
      <c r="L7" s="9">
        <f>DATE(2026,8,13)</f>
        <v>46247</v>
      </c>
      <c r="M7" s="9"/>
      <c r="N7" s="8" t="s">
        <v>500</v>
      </c>
      <c r="O7" s="8">
        <v>160</v>
      </c>
      <c r="P7" s="8">
        <v>0</v>
      </c>
      <c r="Q7" s="8" t="s">
        <v>7</v>
      </c>
      <c r="R7" s="17" t="s">
        <v>557</v>
      </c>
      <c r="S7" s="8"/>
    </row>
    <row r="8" spans="1:19" x14ac:dyDescent="0.25">
      <c r="A8">
        <v>260800007</v>
      </c>
      <c r="B8" t="s">
        <v>17</v>
      </c>
      <c r="C8" t="s">
        <v>22</v>
      </c>
      <c r="D8" t="s">
        <v>287</v>
      </c>
      <c r="E8" s="2">
        <f>DATE(2026,8,10)</f>
        <v>46244</v>
      </c>
      <c r="F8">
        <v>20606383356</v>
      </c>
      <c r="G8" t="s">
        <v>288</v>
      </c>
      <c r="H8" t="s">
        <v>11</v>
      </c>
      <c r="I8" s="1">
        <v>730</v>
      </c>
      <c r="J8" s="1"/>
      <c r="K8" s="1">
        <v>730</v>
      </c>
      <c r="L8" s="2">
        <f>DATE(2026,8,10)</f>
        <v>46244</v>
      </c>
      <c r="M8" s="2"/>
      <c r="N8" t="s">
        <v>289</v>
      </c>
      <c r="O8">
        <v>660.64</v>
      </c>
      <c r="P8">
        <v>69.36</v>
      </c>
      <c r="Q8" t="s">
        <v>551</v>
      </c>
      <c r="R8" s="22" t="s">
        <v>557</v>
      </c>
    </row>
    <row r="9" spans="1:19" x14ac:dyDescent="0.25">
      <c r="A9">
        <v>260700008</v>
      </c>
      <c r="B9" t="s">
        <v>17</v>
      </c>
      <c r="C9" t="s">
        <v>22</v>
      </c>
      <c r="D9" t="s">
        <v>35</v>
      </c>
      <c r="E9" s="2">
        <v>46240</v>
      </c>
      <c r="F9">
        <v>20358806237</v>
      </c>
      <c r="G9" t="s">
        <v>36</v>
      </c>
      <c r="H9" t="s">
        <v>27</v>
      </c>
      <c r="I9" s="1">
        <v>72</v>
      </c>
      <c r="J9" s="1"/>
      <c r="K9" s="1">
        <f>+I9-J9</f>
        <v>72</v>
      </c>
      <c r="L9" s="2">
        <v>46240</v>
      </c>
      <c r="M9" s="2"/>
      <c r="N9" t="s">
        <v>37</v>
      </c>
      <c r="O9">
        <v>61.02</v>
      </c>
      <c r="P9">
        <v>10.98</v>
      </c>
      <c r="Q9" t="s">
        <v>551</v>
      </c>
      <c r="R9" s="22" t="s">
        <v>557</v>
      </c>
    </row>
    <row r="10" spans="1:19" hidden="1" x14ac:dyDescent="0.25">
      <c r="A10">
        <v>260600002</v>
      </c>
      <c r="B10" t="s">
        <v>17</v>
      </c>
      <c r="C10" t="s">
        <v>7</v>
      </c>
      <c r="D10" t="s">
        <v>366</v>
      </c>
      <c r="E10" s="2">
        <f>DATE(2026,6,2)</f>
        <v>46175</v>
      </c>
      <c r="F10">
        <v>10448269201</v>
      </c>
      <c r="G10" t="s">
        <v>122</v>
      </c>
      <c r="H10" t="s">
        <v>11</v>
      </c>
      <c r="I10" s="1">
        <v>322</v>
      </c>
      <c r="J10" s="1"/>
      <c r="K10" s="1">
        <v>322</v>
      </c>
      <c r="L10" s="2">
        <f>DATE(2026,6,2)</f>
        <v>46175</v>
      </c>
      <c r="M10" s="2"/>
      <c r="N10" t="s">
        <v>367</v>
      </c>
    </row>
    <row r="11" spans="1:19" hidden="1" x14ac:dyDescent="0.25">
      <c r="A11">
        <v>260500004</v>
      </c>
      <c r="B11" t="s">
        <v>17</v>
      </c>
      <c r="C11" t="s">
        <v>7</v>
      </c>
      <c r="D11" t="s">
        <v>121</v>
      </c>
      <c r="E11" s="2">
        <f>DATE(2026,7,11)</f>
        <v>46214</v>
      </c>
      <c r="F11">
        <v>10448269201</v>
      </c>
      <c r="G11" t="s">
        <v>122</v>
      </c>
      <c r="H11" t="s">
        <v>27</v>
      </c>
      <c r="I11" s="1">
        <v>44</v>
      </c>
      <c r="J11" s="1"/>
      <c r="K11" s="1">
        <f>+I11-J11</f>
        <v>44</v>
      </c>
      <c r="L11" s="2">
        <f>DATE(2026,7,31)</f>
        <v>46234</v>
      </c>
      <c r="M11" s="2"/>
      <c r="N11" t="s">
        <v>123</v>
      </c>
    </row>
    <row r="12" spans="1:19" hidden="1" x14ac:dyDescent="0.25">
      <c r="A12">
        <v>260500014</v>
      </c>
      <c r="B12" t="s">
        <v>17</v>
      </c>
      <c r="C12" t="s">
        <v>7</v>
      </c>
      <c r="D12" t="s">
        <v>124</v>
      </c>
      <c r="E12" s="2">
        <f>DATE(2026,7,12)</f>
        <v>46215</v>
      </c>
      <c r="F12">
        <v>10448269201</v>
      </c>
      <c r="G12" t="s">
        <v>122</v>
      </c>
      <c r="H12" t="s">
        <v>27</v>
      </c>
      <c r="I12" s="1">
        <v>10</v>
      </c>
      <c r="J12" s="1"/>
      <c r="K12" s="1">
        <f>+I12-J12</f>
        <v>10</v>
      </c>
      <c r="L12" s="2">
        <f>DATE(2026,7,31)</f>
        <v>46234</v>
      </c>
      <c r="M12" s="2"/>
      <c r="N12" t="s">
        <v>125</v>
      </c>
    </row>
    <row r="13" spans="1:19" x14ac:dyDescent="0.25">
      <c r="A13">
        <v>260700008</v>
      </c>
      <c r="B13" t="s">
        <v>17</v>
      </c>
      <c r="C13" t="s">
        <v>7</v>
      </c>
      <c r="D13" t="s">
        <v>266</v>
      </c>
      <c r="E13" s="2">
        <f>DATE(2026,8,5)</f>
        <v>46239</v>
      </c>
      <c r="F13">
        <v>10448269201</v>
      </c>
      <c r="G13" t="s">
        <v>122</v>
      </c>
      <c r="H13" t="s">
        <v>11</v>
      </c>
      <c r="I13" s="1">
        <v>40</v>
      </c>
      <c r="J13" s="1"/>
      <c r="K13" s="1">
        <v>40</v>
      </c>
      <c r="L13" s="2">
        <f>DATE(2026,8,5)</f>
        <v>46239</v>
      </c>
      <c r="M13" s="2"/>
      <c r="N13" t="s">
        <v>267</v>
      </c>
      <c r="O13">
        <v>40</v>
      </c>
      <c r="P13">
        <v>0</v>
      </c>
      <c r="Q13" t="s">
        <v>7</v>
      </c>
      <c r="R13" s="22" t="s">
        <v>557</v>
      </c>
    </row>
    <row r="14" spans="1:19" x14ac:dyDescent="0.25">
      <c r="B14" t="s">
        <v>15</v>
      </c>
      <c r="C14" t="s">
        <v>7</v>
      </c>
      <c r="D14" s="6" t="s">
        <v>151</v>
      </c>
      <c r="E14" s="2">
        <f>DATE(2026,8,7)</f>
        <v>46241</v>
      </c>
      <c r="F14">
        <v>10438198984</v>
      </c>
      <c r="G14" t="s">
        <v>152</v>
      </c>
      <c r="H14" t="s">
        <v>11</v>
      </c>
      <c r="I14" s="1">
        <v>2500</v>
      </c>
      <c r="J14" s="1"/>
      <c r="K14" s="1">
        <f t="shared" ref="K14:K20" si="0">+I14-J14</f>
        <v>2500</v>
      </c>
      <c r="L14" s="2">
        <f>DATE(2026,8,7)</f>
        <v>46241</v>
      </c>
      <c r="M14" s="2" t="s">
        <v>246</v>
      </c>
      <c r="N14" t="s">
        <v>153</v>
      </c>
      <c r="O14">
        <v>2500</v>
      </c>
      <c r="P14">
        <v>0</v>
      </c>
      <c r="Q14" t="s">
        <v>7</v>
      </c>
      <c r="R14" s="22" t="s">
        <v>557</v>
      </c>
    </row>
    <row r="15" spans="1:19" hidden="1" x14ac:dyDescent="0.25">
      <c r="A15" s="8">
        <v>260500007</v>
      </c>
      <c r="B15" s="8" t="s">
        <v>17</v>
      </c>
      <c r="C15" s="8" t="s">
        <v>22</v>
      </c>
      <c r="D15" s="8" t="s">
        <v>138</v>
      </c>
      <c r="E15" s="9">
        <f>DATE(2026,5,11)</f>
        <v>46153</v>
      </c>
      <c r="F15" s="8">
        <v>20225253529</v>
      </c>
      <c r="G15" s="8" t="s">
        <v>134</v>
      </c>
      <c r="H15" s="8" t="s">
        <v>27</v>
      </c>
      <c r="I15" s="7">
        <v>211.52</v>
      </c>
      <c r="J15" s="7">
        <v>25.38</v>
      </c>
      <c r="K15" s="7">
        <f t="shared" si="0"/>
        <v>186.14000000000001</v>
      </c>
      <c r="L15" s="9">
        <f>DATE(2026,5,16)</f>
        <v>46158</v>
      </c>
      <c r="M15" s="9" t="s">
        <v>381</v>
      </c>
      <c r="N15" s="8" t="s">
        <v>139</v>
      </c>
      <c r="O15" s="8"/>
      <c r="P15" s="8"/>
      <c r="Q15" s="8"/>
      <c r="R15" s="8"/>
      <c r="S15" s="8"/>
    </row>
    <row r="16" spans="1:19" hidden="1" x14ac:dyDescent="0.25">
      <c r="A16" s="8">
        <v>260500012</v>
      </c>
      <c r="B16" s="8" t="s">
        <v>17</v>
      </c>
      <c r="C16" s="8" t="s">
        <v>22</v>
      </c>
      <c r="D16" s="8" t="s">
        <v>142</v>
      </c>
      <c r="E16" s="9">
        <f>DATE(2026,5,13)</f>
        <v>46155</v>
      </c>
      <c r="F16" s="8">
        <v>20225253529</v>
      </c>
      <c r="G16" s="8" t="s">
        <v>134</v>
      </c>
      <c r="H16" s="8" t="s">
        <v>27</v>
      </c>
      <c r="I16" s="7">
        <v>182.3</v>
      </c>
      <c r="J16" s="7"/>
      <c r="K16" s="7">
        <f t="shared" si="0"/>
        <v>182.3</v>
      </c>
      <c r="L16" s="9">
        <f>DATE(2026,5,18)</f>
        <v>46160</v>
      </c>
      <c r="M16" s="9" t="s">
        <v>381</v>
      </c>
      <c r="N16" s="8" t="s">
        <v>143</v>
      </c>
      <c r="O16" s="8"/>
      <c r="P16" s="8"/>
      <c r="Q16" s="8"/>
      <c r="R16" s="8"/>
      <c r="S16" s="8"/>
    </row>
    <row r="17" spans="1:2048 2054:3070 3076:4092 4098:5120 5124:6142 6146:9216 9222:10238 10244:11260 11266:12288 12292:13310 13314:16384" hidden="1" x14ac:dyDescent="0.25">
      <c r="A17" s="8">
        <v>260500003</v>
      </c>
      <c r="B17" s="8" t="s">
        <v>17</v>
      </c>
      <c r="C17" s="8" t="s">
        <v>22</v>
      </c>
      <c r="D17" s="8" t="s">
        <v>133</v>
      </c>
      <c r="E17" s="9">
        <f>DATE(2026,5,21)</f>
        <v>46163</v>
      </c>
      <c r="F17" s="8">
        <v>20225253529</v>
      </c>
      <c r="G17" s="8" t="s">
        <v>134</v>
      </c>
      <c r="H17" s="8" t="s">
        <v>27</v>
      </c>
      <c r="I17" s="7">
        <v>668.52</v>
      </c>
      <c r="J17" s="7">
        <v>80.22</v>
      </c>
      <c r="K17" s="7">
        <f t="shared" si="0"/>
        <v>588.29999999999995</v>
      </c>
      <c r="L17" s="9">
        <f>DATE(2026,5,26)</f>
        <v>46168</v>
      </c>
      <c r="M17" s="9" t="s">
        <v>381</v>
      </c>
      <c r="N17" s="8" t="s">
        <v>135</v>
      </c>
      <c r="O17" s="8"/>
      <c r="P17" s="8"/>
      <c r="Q17" s="8"/>
      <c r="R17" s="8"/>
      <c r="S17" s="8"/>
    </row>
    <row r="18" spans="1:2048 2054:3070 3076:4092 4098:5120 5124:6142 6146:9216 9222:10238 10244:11260 11266:12288 12292:13310 13314:16384" hidden="1" x14ac:dyDescent="0.25">
      <c r="A18" s="8">
        <v>260500005</v>
      </c>
      <c r="B18" s="8" t="s">
        <v>17</v>
      </c>
      <c r="C18" s="8" t="s">
        <v>22</v>
      </c>
      <c r="D18" s="8" t="s">
        <v>136</v>
      </c>
      <c r="E18" s="9">
        <f>DATE(2026,5,21)</f>
        <v>46163</v>
      </c>
      <c r="F18" s="8">
        <v>20225253529</v>
      </c>
      <c r="G18" s="8" t="s">
        <v>134</v>
      </c>
      <c r="H18" s="8" t="s">
        <v>27</v>
      </c>
      <c r="I18" s="7">
        <v>288.66000000000003</v>
      </c>
      <c r="J18" s="7">
        <v>34.64</v>
      </c>
      <c r="K18" s="7">
        <f t="shared" si="0"/>
        <v>254.02000000000004</v>
      </c>
      <c r="L18" s="9">
        <f>DATE(2026,5,26)</f>
        <v>46168</v>
      </c>
      <c r="M18" s="9" t="s">
        <v>381</v>
      </c>
      <c r="N18" s="8" t="s">
        <v>137</v>
      </c>
      <c r="O18" s="8"/>
      <c r="P18" s="8"/>
      <c r="Q18" s="8"/>
      <c r="R18" s="8"/>
      <c r="S18" s="8"/>
    </row>
    <row r="19" spans="1:2048 2054:3070 3076:4092 4098:5120 5124:6142 6146:9216 9222:10238 10244:11260 11266:12288 12292:13310 13314:16384" hidden="1" x14ac:dyDescent="0.25">
      <c r="A19">
        <v>260500010</v>
      </c>
      <c r="B19" t="s">
        <v>17</v>
      </c>
      <c r="C19" t="s">
        <v>22</v>
      </c>
      <c r="D19" t="s">
        <v>140</v>
      </c>
      <c r="E19" s="2">
        <f>DATE(2026,5,29)</f>
        <v>46171</v>
      </c>
      <c r="F19">
        <v>20225253529</v>
      </c>
      <c r="G19" t="s">
        <v>134</v>
      </c>
      <c r="H19" t="s">
        <v>27</v>
      </c>
      <c r="I19" s="1">
        <v>451.16</v>
      </c>
      <c r="J19" s="1">
        <v>54.14</v>
      </c>
      <c r="K19" s="1">
        <f t="shared" si="0"/>
        <v>397.02000000000004</v>
      </c>
      <c r="L19" s="2">
        <f>DATE(2026,6,3)</f>
        <v>46176</v>
      </c>
      <c r="M19" s="2" t="s">
        <v>381</v>
      </c>
      <c r="N19" t="s">
        <v>141</v>
      </c>
    </row>
    <row r="20" spans="1:2048 2054:3070 3076:4092 4098:5120 5124:6142 6146:9216 9222:10238 10244:11260 11266:12288 12292:13310 13314:16384" hidden="1" x14ac:dyDescent="0.25">
      <c r="A20">
        <v>260500014</v>
      </c>
      <c r="B20" t="s">
        <v>17</v>
      </c>
      <c r="C20" t="s">
        <v>22</v>
      </c>
      <c r="D20" t="s">
        <v>144</v>
      </c>
      <c r="E20" s="2">
        <f>DATE(2026,5,29)</f>
        <v>46171</v>
      </c>
      <c r="F20">
        <v>20225253529</v>
      </c>
      <c r="G20" t="s">
        <v>134</v>
      </c>
      <c r="H20" t="s">
        <v>27</v>
      </c>
      <c r="I20" s="1">
        <v>281.2</v>
      </c>
      <c r="J20" s="1">
        <v>33.74</v>
      </c>
      <c r="K20" s="1">
        <f t="shared" si="0"/>
        <v>247.45999999999998</v>
      </c>
      <c r="L20" s="2">
        <f>DATE(2026,6,3)</f>
        <v>46176</v>
      </c>
      <c r="M20" s="2" t="s">
        <v>381</v>
      </c>
      <c r="N20" t="s">
        <v>145</v>
      </c>
    </row>
    <row r="21" spans="1:2048 2054:3070 3076:4092 4098:5120 5124:6142 6146:9216 9222:10238 10244:11260 11266:12288 12292:13310 13314:16384" hidden="1" x14ac:dyDescent="0.25">
      <c r="A21" s="8">
        <v>260700011</v>
      </c>
      <c r="B21" s="8" t="s">
        <v>17</v>
      </c>
      <c r="C21" s="8" t="s">
        <v>22</v>
      </c>
      <c r="D21" s="8" t="s">
        <v>238</v>
      </c>
      <c r="E21" s="9">
        <f>DATE(2026,7,16)</f>
        <v>46219</v>
      </c>
      <c r="F21" s="8">
        <v>20225253529</v>
      </c>
      <c r="G21" s="8" t="s">
        <v>134</v>
      </c>
      <c r="H21" s="8" t="s">
        <v>27</v>
      </c>
      <c r="I21" s="7">
        <v>171.22</v>
      </c>
      <c r="J21" s="7"/>
      <c r="K21" s="7">
        <v>171.22</v>
      </c>
      <c r="L21" s="9">
        <f>DATE(2026,7,21)</f>
        <v>46224</v>
      </c>
      <c r="M21" s="9" t="s">
        <v>381</v>
      </c>
      <c r="N21" s="8" t="s">
        <v>239</v>
      </c>
      <c r="O21" s="8"/>
      <c r="P21" s="8"/>
      <c r="Q21" s="8"/>
      <c r="R21" s="8"/>
      <c r="S21" s="8"/>
    </row>
    <row r="22" spans="1:2048 2054:3070 3076:4092 4098:5120 5124:6142 6146:9216 9222:10238 10244:11260 11266:12288 12292:13310 13314:16384" s="8" customFormat="1" hidden="1" x14ac:dyDescent="0.25">
      <c r="A22" s="8">
        <v>260700009</v>
      </c>
      <c r="B22" s="8" t="s">
        <v>17</v>
      </c>
      <c r="C22" s="8" t="s">
        <v>22</v>
      </c>
      <c r="D22" s="8" t="s">
        <v>146</v>
      </c>
      <c r="E22" s="9">
        <f>DATE(2026,7,21)</f>
        <v>46224</v>
      </c>
      <c r="F22" s="8">
        <v>20225253529</v>
      </c>
      <c r="G22" s="8" t="s">
        <v>134</v>
      </c>
      <c r="H22" s="8" t="s">
        <v>27</v>
      </c>
      <c r="I22" s="7">
        <v>363.64</v>
      </c>
      <c r="J22" s="7">
        <v>43.64</v>
      </c>
      <c r="K22" s="7">
        <f>+I22-J22</f>
        <v>320</v>
      </c>
      <c r="L22" s="9">
        <f>DATE(2026,7,26)</f>
        <v>46229</v>
      </c>
      <c r="M22" s="9" t="s">
        <v>381</v>
      </c>
      <c r="N22" s="8" t="s">
        <v>147</v>
      </c>
      <c r="X22" s="9"/>
      <c r="AB22" s="7"/>
      <c r="AC22" s="7"/>
      <c r="AD22" s="7"/>
      <c r="AE22" s="9"/>
      <c r="AF22" s="9"/>
      <c r="AL22" s="9"/>
      <c r="AP22" s="7"/>
      <c r="AQ22" s="7"/>
      <c r="AR22" s="7"/>
      <c r="AS22" s="9"/>
      <c r="AT22" s="9"/>
      <c r="AZ22" s="9"/>
      <c r="BD22" s="7"/>
      <c r="BE22" s="7"/>
      <c r="BF22" s="7"/>
      <c r="BG22" s="9"/>
      <c r="BH22" s="9"/>
      <c r="BN22" s="9"/>
      <c r="BR22" s="7"/>
      <c r="BS22" s="7"/>
      <c r="BT22" s="7"/>
      <c r="BU22" s="9"/>
      <c r="BV22" s="9"/>
      <c r="CB22" s="9"/>
      <c r="CF22" s="7"/>
      <c r="CG22" s="7"/>
      <c r="CH22" s="7"/>
      <c r="CI22" s="9"/>
      <c r="CJ22" s="9"/>
      <c r="CP22" s="9"/>
      <c r="CT22" s="7"/>
      <c r="CU22" s="7"/>
      <c r="CV22" s="7"/>
      <c r="CW22" s="9"/>
      <c r="CX22" s="9"/>
      <c r="DD22" s="9"/>
      <c r="DH22" s="7"/>
      <c r="DI22" s="7"/>
      <c r="DJ22" s="7"/>
      <c r="DK22" s="9"/>
      <c r="DL22" s="9"/>
      <c r="DR22" s="9"/>
      <c r="DV22" s="7"/>
      <c r="DW22" s="7"/>
      <c r="DX22" s="7"/>
      <c r="DY22" s="9"/>
      <c r="DZ22" s="9"/>
      <c r="EF22" s="9"/>
      <c r="EJ22" s="7"/>
      <c r="EK22" s="7"/>
      <c r="EL22" s="7"/>
      <c r="EM22" s="9"/>
      <c r="EN22" s="9"/>
      <c r="ET22" s="9"/>
      <c r="EX22" s="7"/>
      <c r="EY22" s="7"/>
      <c r="EZ22" s="7"/>
      <c r="FA22" s="9"/>
      <c r="FB22" s="9"/>
      <c r="FH22" s="9"/>
      <c r="FL22" s="7"/>
      <c r="FM22" s="7"/>
      <c r="FN22" s="7"/>
      <c r="FO22" s="9"/>
      <c r="FP22" s="9"/>
      <c r="FV22" s="9"/>
      <c r="FZ22" s="7"/>
      <c r="GA22" s="7"/>
      <c r="GB22" s="7"/>
      <c r="GC22" s="9"/>
      <c r="GD22" s="9"/>
      <c r="GJ22" s="9"/>
      <c r="GN22" s="7"/>
      <c r="GO22" s="7"/>
      <c r="GP22" s="7"/>
      <c r="GQ22" s="9"/>
      <c r="GR22" s="9"/>
      <c r="GX22" s="9"/>
      <c r="HB22" s="7"/>
      <c r="HC22" s="7"/>
      <c r="HD22" s="7"/>
      <c r="HE22" s="9"/>
      <c r="HF22" s="9"/>
      <c r="HL22" s="9"/>
      <c r="HP22" s="7"/>
      <c r="HQ22" s="7"/>
      <c r="HR22" s="7"/>
      <c r="HS22" s="9"/>
      <c r="HT22" s="9"/>
      <c r="HZ22" s="9"/>
      <c r="ID22" s="7"/>
      <c r="IE22" s="7"/>
      <c r="IF22" s="7"/>
      <c r="IG22" s="9"/>
      <c r="IH22" s="9"/>
      <c r="IN22" s="9"/>
      <c r="IR22" s="7"/>
      <c r="IS22" s="7"/>
      <c r="IT22" s="7"/>
      <c r="IU22" s="9"/>
      <c r="IV22" s="9"/>
      <c r="JB22" s="9"/>
      <c r="JF22" s="7"/>
      <c r="JG22" s="7"/>
      <c r="JH22" s="7"/>
      <c r="JI22" s="9"/>
      <c r="JJ22" s="9"/>
      <c r="JP22" s="9"/>
      <c r="JT22" s="7"/>
      <c r="JU22" s="7"/>
      <c r="JV22" s="7"/>
      <c r="JW22" s="9"/>
      <c r="JX22" s="9"/>
      <c r="KD22" s="9"/>
      <c r="KH22" s="7"/>
      <c r="KI22" s="7"/>
      <c r="KJ22" s="7"/>
      <c r="KK22" s="9"/>
      <c r="KL22" s="9"/>
      <c r="KR22" s="9"/>
      <c r="KV22" s="7"/>
      <c r="KW22" s="7"/>
      <c r="KX22" s="7"/>
      <c r="KY22" s="9"/>
      <c r="KZ22" s="9"/>
      <c r="LF22" s="9"/>
      <c r="LJ22" s="7"/>
      <c r="LK22" s="7"/>
      <c r="LL22" s="7"/>
      <c r="LM22" s="9"/>
      <c r="LN22" s="9"/>
      <c r="LT22" s="9"/>
      <c r="LX22" s="7"/>
      <c r="LY22" s="7"/>
      <c r="LZ22" s="7"/>
      <c r="MA22" s="9"/>
      <c r="MB22" s="9"/>
      <c r="MH22" s="9"/>
      <c r="ML22" s="7"/>
      <c r="MM22" s="7"/>
      <c r="MN22" s="7"/>
      <c r="MO22" s="9"/>
      <c r="MP22" s="9"/>
      <c r="MV22" s="9"/>
      <c r="MZ22" s="7"/>
      <c r="NA22" s="7"/>
      <c r="NB22" s="7"/>
      <c r="NC22" s="9"/>
      <c r="ND22" s="9"/>
      <c r="NJ22" s="9"/>
      <c r="NN22" s="7"/>
      <c r="NO22" s="7"/>
      <c r="NP22" s="7"/>
      <c r="NQ22" s="9"/>
      <c r="NR22" s="9"/>
      <c r="NX22" s="9"/>
      <c r="OB22" s="7"/>
      <c r="OC22" s="7"/>
      <c r="OD22" s="7"/>
      <c r="OE22" s="9"/>
      <c r="OF22" s="9"/>
      <c r="OL22" s="9"/>
      <c r="OP22" s="7"/>
      <c r="OQ22" s="7"/>
      <c r="OR22" s="7"/>
      <c r="OS22" s="9"/>
      <c r="OT22" s="9"/>
      <c r="OZ22" s="9"/>
      <c r="PD22" s="7"/>
      <c r="PE22" s="7"/>
      <c r="PF22" s="7"/>
      <c r="PG22" s="9"/>
      <c r="PH22" s="9"/>
      <c r="PN22" s="9"/>
      <c r="PR22" s="7"/>
      <c r="PS22" s="7"/>
      <c r="PT22" s="7"/>
      <c r="PU22" s="9"/>
      <c r="PV22" s="9"/>
      <c r="QB22" s="9"/>
      <c r="QF22" s="7"/>
      <c r="QG22" s="7"/>
      <c r="QH22" s="7"/>
      <c r="QI22" s="9"/>
      <c r="QJ22" s="9"/>
      <c r="QP22" s="9"/>
      <c r="QT22" s="7"/>
      <c r="QU22" s="7"/>
      <c r="QV22" s="7"/>
      <c r="QW22" s="9"/>
      <c r="QX22" s="9"/>
      <c r="RD22" s="9"/>
      <c r="RH22" s="7"/>
      <c r="RI22" s="7"/>
      <c r="RJ22" s="7"/>
      <c r="RK22" s="9"/>
      <c r="RL22" s="9"/>
      <c r="RR22" s="9"/>
      <c r="RV22" s="7"/>
      <c r="RW22" s="7"/>
      <c r="RX22" s="7"/>
      <c r="RY22" s="9"/>
      <c r="RZ22" s="9"/>
      <c r="SF22" s="9"/>
      <c r="SJ22" s="7"/>
      <c r="SK22" s="7"/>
      <c r="SL22" s="7"/>
      <c r="SM22" s="9"/>
      <c r="SN22" s="9"/>
      <c r="ST22" s="9"/>
      <c r="SX22" s="7"/>
      <c r="SY22" s="7"/>
      <c r="SZ22" s="7"/>
      <c r="TA22" s="9"/>
      <c r="TB22" s="9"/>
      <c r="TH22" s="9"/>
      <c r="TL22" s="7"/>
      <c r="TM22" s="7"/>
      <c r="TN22" s="7"/>
      <c r="TO22" s="9"/>
      <c r="TP22" s="9"/>
      <c r="TV22" s="9"/>
      <c r="TZ22" s="7"/>
      <c r="UA22" s="7"/>
      <c r="UB22" s="7"/>
      <c r="UC22" s="9"/>
      <c r="UD22" s="9"/>
      <c r="UJ22" s="9"/>
      <c r="UN22" s="7"/>
      <c r="UO22" s="7"/>
      <c r="UP22" s="7"/>
      <c r="UQ22" s="9"/>
      <c r="UR22" s="9"/>
      <c r="UX22" s="9"/>
      <c r="VB22" s="7"/>
      <c r="VC22" s="7"/>
      <c r="VD22" s="7"/>
      <c r="VE22" s="9"/>
      <c r="VF22" s="9"/>
      <c r="VL22" s="9"/>
      <c r="VP22" s="7"/>
      <c r="VQ22" s="7"/>
      <c r="VR22" s="7"/>
      <c r="VS22" s="9"/>
      <c r="VT22" s="9"/>
      <c r="VZ22" s="9"/>
      <c r="WD22" s="7"/>
      <c r="WE22" s="7"/>
      <c r="WF22" s="7"/>
      <c r="WG22" s="9"/>
      <c r="WH22" s="9"/>
      <c r="WN22" s="9"/>
      <c r="WR22" s="7"/>
      <c r="WS22" s="7"/>
      <c r="WT22" s="7"/>
      <c r="WU22" s="9"/>
      <c r="WV22" s="9"/>
      <c r="XB22" s="9"/>
      <c r="XF22" s="7"/>
      <c r="XG22" s="7"/>
      <c r="XH22" s="7"/>
      <c r="XI22" s="9"/>
      <c r="XJ22" s="9"/>
      <c r="XP22" s="9"/>
      <c r="XT22" s="7"/>
      <c r="XU22" s="7"/>
      <c r="XV22" s="7"/>
      <c r="XW22" s="9"/>
      <c r="XX22" s="9"/>
      <c r="YD22" s="9"/>
      <c r="YH22" s="7"/>
      <c r="YI22" s="7"/>
      <c r="YJ22" s="7"/>
      <c r="YK22" s="9"/>
      <c r="YL22" s="9"/>
      <c r="YR22" s="9"/>
      <c r="YV22" s="7"/>
      <c r="YW22" s="7"/>
      <c r="YX22" s="7"/>
      <c r="YY22" s="9"/>
      <c r="YZ22" s="9"/>
      <c r="ZF22" s="9"/>
      <c r="ZJ22" s="7"/>
      <c r="ZK22" s="7"/>
      <c r="ZL22" s="7"/>
      <c r="ZM22" s="9"/>
      <c r="ZN22" s="9"/>
      <c r="ZT22" s="9"/>
      <c r="ZX22" s="7"/>
      <c r="ZY22" s="7"/>
      <c r="ZZ22" s="7"/>
      <c r="AAA22" s="9"/>
      <c r="AAB22" s="9"/>
      <c r="AAH22" s="9"/>
      <c r="AAL22" s="7"/>
      <c r="AAM22" s="7"/>
      <c r="AAN22" s="7"/>
      <c r="AAO22" s="9"/>
      <c r="AAP22" s="9"/>
      <c r="AAV22" s="9"/>
      <c r="AAZ22" s="7"/>
      <c r="ABA22" s="7"/>
      <c r="ABB22" s="7"/>
      <c r="ABC22" s="9"/>
      <c r="ABD22" s="9"/>
      <c r="ABJ22" s="9"/>
      <c r="ABN22" s="7"/>
      <c r="ABO22" s="7"/>
      <c r="ABP22" s="7"/>
      <c r="ABQ22" s="9"/>
      <c r="ABR22" s="9"/>
      <c r="ABX22" s="9"/>
      <c r="ACB22" s="7"/>
      <c r="ACC22" s="7"/>
      <c r="ACD22" s="7"/>
      <c r="ACE22" s="9"/>
      <c r="ACF22" s="9"/>
      <c r="ACL22" s="9"/>
      <c r="ACP22" s="7"/>
      <c r="ACQ22" s="7"/>
      <c r="ACR22" s="7"/>
      <c r="ACS22" s="9"/>
      <c r="ACT22" s="9"/>
      <c r="ACZ22" s="9"/>
      <c r="ADD22" s="7"/>
      <c r="ADE22" s="7"/>
      <c r="ADF22" s="7"/>
      <c r="ADG22" s="9"/>
      <c r="ADH22" s="9"/>
      <c r="ADN22" s="9"/>
      <c r="ADR22" s="7"/>
      <c r="ADS22" s="7"/>
      <c r="ADT22" s="7"/>
      <c r="ADU22" s="9"/>
      <c r="ADV22" s="9"/>
      <c r="AEB22" s="9"/>
      <c r="AEF22" s="7"/>
      <c r="AEG22" s="7"/>
      <c r="AEH22" s="7"/>
      <c r="AEI22" s="9"/>
      <c r="AEJ22" s="9"/>
      <c r="AEP22" s="9"/>
      <c r="AET22" s="7"/>
      <c r="AEU22" s="7"/>
      <c r="AEV22" s="7"/>
      <c r="AEW22" s="9"/>
      <c r="AEX22" s="9"/>
      <c r="AFD22" s="9"/>
      <c r="AFH22" s="7"/>
      <c r="AFI22" s="7"/>
      <c r="AFJ22" s="7"/>
      <c r="AFK22" s="9"/>
      <c r="AFL22" s="9"/>
      <c r="AFR22" s="9"/>
      <c r="AFV22" s="7"/>
      <c r="AFW22" s="7"/>
      <c r="AFX22" s="7"/>
      <c r="AFY22" s="9"/>
      <c r="AFZ22" s="9"/>
      <c r="AGF22" s="9"/>
      <c r="AGJ22" s="7"/>
      <c r="AGK22" s="7"/>
      <c r="AGL22" s="7"/>
      <c r="AGM22" s="9"/>
      <c r="AGN22" s="9"/>
      <c r="AGT22" s="9"/>
      <c r="AGX22" s="7"/>
      <c r="AGY22" s="7"/>
      <c r="AGZ22" s="7"/>
      <c r="AHA22" s="9"/>
      <c r="AHB22" s="9"/>
      <c r="AHH22" s="9"/>
      <c r="AHL22" s="7"/>
      <c r="AHM22" s="7"/>
      <c r="AHN22" s="7"/>
      <c r="AHO22" s="9"/>
      <c r="AHP22" s="9"/>
      <c r="AHV22" s="9"/>
      <c r="AHZ22" s="7"/>
      <c r="AIA22" s="7"/>
      <c r="AIB22" s="7"/>
      <c r="AIC22" s="9"/>
      <c r="AID22" s="9"/>
      <c r="AIJ22" s="9"/>
      <c r="AIN22" s="7"/>
      <c r="AIO22" s="7"/>
      <c r="AIP22" s="7"/>
      <c r="AIQ22" s="9"/>
      <c r="AIR22" s="9"/>
      <c r="AIX22" s="9"/>
      <c r="AJB22" s="7"/>
      <c r="AJC22" s="7"/>
      <c r="AJD22" s="7"/>
      <c r="AJE22" s="9"/>
      <c r="AJF22" s="9"/>
      <c r="AJL22" s="9"/>
      <c r="AJP22" s="7"/>
      <c r="AJQ22" s="7"/>
      <c r="AJR22" s="7"/>
      <c r="AJS22" s="9"/>
      <c r="AJT22" s="9"/>
      <c r="AJZ22" s="9"/>
      <c r="AKD22" s="7"/>
      <c r="AKE22" s="7"/>
      <c r="AKF22" s="7"/>
      <c r="AKG22" s="9"/>
      <c r="AKH22" s="9"/>
      <c r="AKN22" s="9"/>
      <c r="AKR22" s="7"/>
      <c r="AKS22" s="7"/>
      <c r="AKT22" s="7"/>
      <c r="AKU22" s="9"/>
      <c r="AKV22" s="9"/>
      <c r="ALB22" s="9"/>
      <c r="ALF22" s="7"/>
      <c r="ALG22" s="7"/>
      <c r="ALH22" s="7"/>
      <c r="ALI22" s="9"/>
      <c r="ALJ22" s="9"/>
      <c r="ALP22" s="9"/>
      <c r="ALT22" s="7"/>
      <c r="ALU22" s="7"/>
      <c r="ALV22" s="7"/>
      <c r="ALW22" s="9"/>
      <c r="ALX22" s="9"/>
      <c r="AMD22" s="9"/>
      <c r="AMH22" s="7"/>
      <c r="AMI22" s="7"/>
      <c r="AMJ22" s="7"/>
      <c r="AMK22" s="9"/>
      <c r="AML22" s="9"/>
      <c r="AMR22" s="9"/>
      <c r="AMV22" s="7"/>
      <c r="AMW22" s="7"/>
      <c r="AMX22" s="7"/>
      <c r="AMY22" s="9"/>
      <c r="AMZ22" s="9"/>
      <c r="ANF22" s="9"/>
      <c r="ANJ22" s="7"/>
      <c r="ANK22" s="7"/>
      <c r="ANL22" s="7"/>
      <c r="ANM22" s="9"/>
      <c r="ANN22" s="9"/>
      <c r="ANT22" s="9"/>
      <c r="ANX22" s="7"/>
      <c r="ANY22" s="7"/>
      <c r="ANZ22" s="7"/>
      <c r="AOA22" s="9"/>
      <c r="AOB22" s="9"/>
      <c r="AOH22" s="9"/>
      <c r="AOL22" s="7"/>
      <c r="AOM22" s="7"/>
      <c r="AON22" s="7"/>
      <c r="AOO22" s="9"/>
      <c r="AOP22" s="9"/>
      <c r="AOV22" s="9"/>
      <c r="AOZ22" s="7"/>
      <c r="APA22" s="7"/>
      <c r="APB22" s="7"/>
      <c r="APC22" s="9"/>
      <c r="APD22" s="9"/>
      <c r="APJ22" s="9"/>
      <c r="APN22" s="7"/>
      <c r="APO22" s="7"/>
      <c r="APP22" s="7"/>
      <c r="APQ22" s="9"/>
      <c r="APR22" s="9"/>
      <c r="APX22" s="9"/>
      <c r="AQB22" s="7"/>
      <c r="AQC22" s="7"/>
      <c r="AQD22" s="7"/>
      <c r="AQE22" s="9"/>
      <c r="AQF22" s="9"/>
      <c r="AQL22" s="9"/>
      <c r="AQP22" s="7"/>
      <c r="AQQ22" s="7"/>
      <c r="AQR22" s="7"/>
      <c r="AQS22" s="9"/>
      <c r="AQT22" s="9"/>
      <c r="AQZ22" s="9"/>
      <c r="ARD22" s="7"/>
      <c r="ARE22" s="7"/>
      <c r="ARF22" s="7"/>
      <c r="ARG22" s="9"/>
      <c r="ARH22" s="9"/>
      <c r="ARN22" s="9"/>
      <c r="ARR22" s="7"/>
      <c r="ARS22" s="7"/>
      <c r="ART22" s="7"/>
      <c r="ARU22" s="9"/>
      <c r="ARV22" s="9"/>
      <c r="ASB22" s="9"/>
      <c r="ASF22" s="7"/>
      <c r="ASG22" s="7"/>
      <c r="ASH22" s="7"/>
      <c r="ASI22" s="9"/>
      <c r="ASJ22" s="9"/>
      <c r="ASP22" s="9"/>
      <c r="AST22" s="7"/>
      <c r="ASU22" s="7"/>
      <c r="ASV22" s="7"/>
      <c r="ASW22" s="9"/>
      <c r="ASX22" s="9"/>
      <c r="ATD22" s="9"/>
      <c r="ATH22" s="7"/>
      <c r="ATI22" s="7"/>
      <c r="ATJ22" s="7"/>
      <c r="ATK22" s="9"/>
      <c r="ATL22" s="9"/>
      <c r="ATR22" s="9"/>
      <c r="ATV22" s="7"/>
      <c r="ATW22" s="7"/>
      <c r="ATX22" s="7"/>
      <c r="ATY22" s="9"/>
      <c r="ATZ22" s="9"/>
      <c r="AUF22" s="9"/>
      <c r="AUJ22" s="7"/>
      <c r="AUK22" s="7"/>
      <c r="AUL22" s="7"/>
      <c r="AUM22" s="9"/>
      <c r="AUN22" s="9"/>
      <c r="AUT22" s="9"/>
      <c r="AUX22" s="7"/>
      <c r="AUY22" s="7"/>
      <c r="AUZ22" s="7"/>
      <c r="AVA22" s="9"/>
      <c r="AVB22" s="9"/>
      <c r="AVH22" s="9"/>
      <c r="AVL22" s="7"/>
      <c r="AVM22" s="7"/>
      <c r="AVN22" s="7"/>
      <c r="AVO22" s="9"/>
      <c r="AVP22" s="9"/>
      <c r="AVV22" s="9"/>
      <c r="AVZ22" s="7"/>
      <c r="AWA22" s="7"/>
      <c r="AWB22" s="7"/>
      <c r="AWC22" s="9"/>
      <c r="AWD22" s="9"/>
      <c r="AWJ22" s="9"/>
      <c r="AWN22" s="7"/>
      <c r="AWO22" s="7"/>
      <c r="AWP22" s="7"/>
      <c r="AWQ22" s="9"/>
      <c r="AWR22" s="9"/>
      <c r="AWX22" s="9"/>
      <c r="AXB22" s="7"/>
      <c r="AXC22" s="7"/>
      <c r="AXD22" s="7"/>
      <c r="AXE22" s="9"/>
      <c r="AXF22" s="9"/>
      <c r="AXL22" s="9"/>
      <c r="AXP22" s="7"/>
      <c r="AXQ22" s="7"/>
      <c r="AXR22" s="7"/>
      <c r="AXS22" s="9"/>
      <c r="AXT22" s="9"/>
      <c r="AXZ22" s="9"/>
      <c r="AYD22" s="7"/>
      <c r="AYE22" s="7"/>
      <c r="AYF22" s="7"/>
      <c r="AYG22" s="9"/>
      <c r="AYH22" s="9"/>
      <c r="AYN22" s="9"/>
      <c r="AYR22" s="7"/>
      <c r="AYS22" s="7"/>
      <c r="AYT22" s="7"/>
      <c r="AYU22" s="9"/>
      <c r="AYV22" s="9"/>
      <c r="AZB22" s="9"/>
      <c r="AZF22" s="7"/>
      <c r="AZG22" s="7"/>
      <c r="AZH22" s="7"/>
      <c r="AZI22" s="9"/>
      <c r="AZJ22" s="9"/>
      <c r="AZP22" s="9"/>
      <c r="AZT22" s="7"/>
      <c r="AZU22" s="7"/>
      <c r="AZV22" s="7"/>
      <c r="AZW22" s="9"/>
      <c r="AZX22" s="9"/>
      <c r="BAD22" s="9"/>
      <c r="BAH22" s="7"/>
      <c r="BAI22" s="7"/>
      <c r="BAJ22" s="7"/>
      <c r="BAK22" s="9"/>
      <c r="BAL22" s="9"/>
      <c r="BAR22" s="9"/>
      <c r="BAV22" s="7"/>
      <c r="BAW22" s="7"/>
      <c r="BAX22" s="7"/>
      <c r="BAY22" s="9"/>
      <c r="BAZ22" s="9"/>
      <c r="BBF22" s="9"/>
      <c r="BBJ22" s="7"/>
      <c r="BBK22" s="7"/>
      <c r="BBL22" s="7"/>
      <c r="BBM22" s="9"/>
      <c r="BBN22" s="9"/>
      <c r="BBT22" s="9"/>
      <c r="BBX22" s="7"/>
      <c r="BBY22" s="7"/>
      <c r="BBZ22" s="7"/>
      <c r="BCA22" s="9"/>
      <c r="BCB22" s="9"/>
      <c r="BCH22" s="9"/>
      <c r="BCL22" s="7"/>
      <c r="BCM22" s="7"/>
      <c r="BCN22" s="7"/>
      <c r="BCO22" s="9"/>
      <c r="BCP22" s="9"/>
      <c r="BCV22" s="9"/>
      <c r="BCZ22" s="7"/>
      <c r="BDA22" s="7"/>
      <c r="BDB22" s="7"/>
      <c r="BDC22" s="9"/>
      <c r="BDD22" s="9"/>
      <c r="BDJ22" s="9"/>
      <c r="BDN22" s="7"/>
      <c r="BDO22" s="7"/>
      <c r="BDP22" s="7"/>
      <c r="BDQ22" s="9"/>
      <c r="BDR22" s="9"/>
      <c r="BDX22" s="9"/>
      <c r="BEB22" s="7"/>
      <c r="BEC22" s="7"/>
      <c r="BED22" s="7"/>
      <c r="BEE22" s="9"/>
      <c r="BEF22" s="9"/>
      <c r="BEL22" s="9"/>
      <c r="BEP22" s="7"/>
      <c r="BEQ22" s="7"/>
      <c r="BER22" s="7"/>
      <c r="BES22" s="9"/>
      <c r="BET22" s="9"/>
      <c r="BEZ22" s="9"/>
      <c r="BFD22" s="7"/>
      <c r="BFE22" s="7"/>
      <c r="BFF22" s="7"/>
      <c r="BFG22" s="9"/>
      <c r="BFH22" s="9"/>
      <c r="BFN22" s="9"/>
      <c r="BFR22" s="7"/>
      <c r="BFS22" s="7"/>
      <c r="BFT22" s="7"/>
      <c r="BFU22" s="9"/>
      <c r="BFV22" s="9"/>
      <c r="BGB22" s="9"/>
      <c r="BGF22" s="7"/>
      <c r="BGG22" s="7"/>
      <c r="BGH22" s="7"/>
      <c r="BGI22" s="9"/>
      <c r="BGJ22" s="9"/>
      <c r="BGP22" s="9"/>
      <c r="BGT22" s="7"/>
      <c r="BGU22" s="7"/>
      <c r="BGV22" s="7"/>
      <c r="BGW22" s="9"/>
      <c r="BGX22" s="9"/>
      <c r="BHD22" s="9"/>
      <c r="BHH22" s="7"/>
      <c r="BHI22" s="7"/>
      <c r="BHJ22" s="7"/>
      <c r="BHK22" s="9"/>
      <c r="BHL22" s="9"/>
      <c r="BHR22" s="9"/>
      <c r="BHV22" s="7"/>
      <c r="BHW22" s="7"/>
      <c r="BHX22" s="7"/>
      <c r="BHY22" s="9"/>
      <c r="BHZ22" s="9"/>
      <c r="BIF22" s="9"/>
      <c r="BIJ22" s="7"/>
      <c r="BIK22" s="7"/>
      <c r="BIL22" s="7"/>
      <c r="BIM22" s="9"/>
      <c r="BIN22" s="9"/>
      <c r="BIT22" s="9"/>
      <c r="BIX22" s="7"/>
      <c r="BIY22" s="7"/>
      <c r="BIZ22" s="7"/>
      <c r="BJA22" s="9"/>
      <c r="BJB22" s="9"/>
      <c r="BJH22" s="9"/>
      <c r="BJL22" s="7"/>
      <c r="BJM22" s="7"/>
      <c r="BJN22" s="7"/>
      <c r="BJO22" s="9"/>
      <c r="BJP22" s="9"/>
      <c r="BJV22" s="9"/>
      <c r="BJZ22" s="7"/>
      <c r="BKA22" s="7"/>
      <c r="BKB22" s="7"/>
      <c r="BKC22" s="9"/>
      <c r="BKD22" s="9"/>
      <c r="BKJ22" s="9"/>
      <c r="BKN22" s="7"/>
      <c r="BKO22" s="7"/>
      <c r="BKP22" s="7"/>
      <c r="BKQ22" s="9"/>
      <c r="BKR22" s="9"/>
      <c r="BKX22" s="9"/>
      <c r="BLB22" s="7"/>
      <c r="BLC22" s="7"/>
      <c r="BLD22" s="7"/>
      <c r="BLE22" s="9"/>
      <c r="BLF22" s="9"/>
      <c r="BLL22" s="9"/>
      <c r="BLP22" s="7"/>
      <c r="BLQ22" s="7"/>
      <c r="BLR22" s="7"/>
      <c r="BLS22" s="9"/>
      <c r="BLT22" s="9"/>
      <c r="BLZ22" s="9"/>
      <c r="BMD22" s="7"/>
      <c r="BME22" s="7"/>
      <c r="BMF22" s="7"/>
      <c r="BMG22" s="9"/>
      <c r="BMH22" s="9"/>
      <c r="BMN22" s="9"/>
      <c r="BMR22" s="7"/>
      <c r="BMS22" s="7"/>
      <c r="BMT22" s="7"/>
      <c r="BMU22" s="9"/>
      <c r="BMV22" s="9"/>
      <c r="BNB22" s="9"/>
      <c r="BNF22" s="7"/>
      <c r="BNG22" s="7"/>
      <c r="BNH22" s="7"/>
      <c r="BNI22" s="9"/>
      <c r="BNJ22" s="9"/>
      <c r="BNP22" s="9"/>
      <c r="BNT22" s="7"/>
      <c r="BNU22" s="7"/>
      <c r="BNV22" s="7"/>
      <c r="BNW22" s="9"/>
      <c r="BNX22" s="9"/>
      <c r="BOD22" s="9"/>
      <c r="BOH22" s="7"/>
      <c r="BOI22" s="7"/>
      <c r="BOJ22" s="7"/>
      <c r="BOK22" s="9"/>
      <c r="BOL22" s="9"/>
      <c r="BOR22" s="9"/>
      <c r="BOV22" s="7"/>
      <c r="BOW22" s="7"/>
      <c r="BOX22" s="7"/>
      <c r="BOY22" s="9"/>
      <c r="BOZ22" s="9"/>
      <c r="BPF22" s="9"/>
      <c r="BPJ22" s="7"/>
      <c r="BPK22" s="7"/>
      <c r="BPL22" s="7"/>
      <c r="BPM22" s="9"/>
      <c r="BPN22" s="9"/>
      <c r="BPT22" s="9"/>
      <c r="BPX22" s="7"/>
      <c r="BPY22" s="7"/>
      <c r="BPZ22" s="7"/>
      <c r="BQA22" s="9"/>
      <c r="BQB22" s="9"/>
      <c r="BQH22" s="9"/>
      <c r="BQL22" s="7"/>
      <c r="BQM22" s="7"/>
      <c r="BQN22" s="7"/>
      <c r="BQO22" s="9"/>
      <c r="BQP22" s="9"/>
      <c r="BQV22" s="9"/>
      <c r="BQZ22" s="7"/>
      <c r="BRA22" s="7"/>
      <c r="BRB22" s="7"/>
      <c r="BRC22" s="9"/>
      <c r="BRD22" s="9"/>
      <c r="BRJ22" s="9"/>
      <c r="BRN22" s="7"/>
      <c r="BRO22" s="7"/>
      <c r="BRP22" s="7"/>
      <c r="BRQ22" s="9"/>
      <c r="BRR22" s="9"/>
      <c r="BRX22" s="9"/>
      <c r="BSB22" s="7"/>
      <c r="BSC22" s="7"/>
      <c r="BSD22" s="7"/>
      <c r="BSE22" s="9"/>
      <c r="BSF22" s="9"/>
      <c r="BSL22" s="9"/>
      <c r="BSP22" s="7"/>
      <c r="BSQ22" s="7"/>
      <c r="BSR22" s="7"/>
      <c r="BSS22" s="9"/>
      <c r="BST22" s="9"/>
      <c r="BSZ22" s="9"/>
      <c r="BTD22" s="7"/>
      <c r="BTE22" s="7"/>
      <c r="BTF22" s="7"/>
      <c r="BTG22" s="9"/>
      <c r="BTH22" s="9"/>
      <c r="BTN22" s="9"/>
      <c r="BTR22" s="7"/>
      <c r="BTS22" s="7"/>
      <c r="BTT22" s="7"/>
      <c r="BTU22" s="9"/>
      <c r="BTV22" s="9"/>
      <c r="BUB22" s="9"/>
      <c r="BUF22" s="7"/>
      <c r="BUG22" s="7"/>
      <c r="BUH22" s="7"/>
      <c r="BUI22" s="9"/>
      <c r="BUJ22" s="9"/>
      <c r="BUP22" s="9"/>
      <c r="BUT22" s="7"/>
      <c r="BUU22" s="7"/>
      <c r="BUV22" s="7"/>
      <c r="BUW22" s="9"/>
      <c r="BUX22" s="9"/>
      <c r="BVD22" s="9"/>
      <c r="BVH22" s="7"/>
      <c r="BVI22" s="7"/>
      <c r="BVJ22" s="7"/>
      <c r="BVK22" s="9"/>
      <c r="BVL22" s="9"/>
      <c r="BVR22" s="9"/>
      <c r="BVV22" s="7"/>
      <c r="BVW22" s="7"/>
      <c r="BVX22" s="7"/>
      <c r="BVY22" s="9"/>
      <c r="BVZ22" s="9"/>
      <c r="BWF22" s="9"/>
      <c r="BWJ22" s="7"/>
      <c r="BWK22" s="7"/>
      <c r="BWL22" s="7"/>
      <c r="BWM22" s="9"/>
      <c r="BWN22" s="9"/>
      <c r="BWT22" s="9"/>
      <c r="BWX22" s="7"/>
      <c r="BWY22" s="7"/>
      <c r="BWZ22" s="7"/>
      <c r="BXA22" s="9"/>
      <c r="BXB22" s="9"/>
      <c r="BXH22" s="9"/>
      <c r="BXL22" s="7"/>
      <c r="BXM22" s="7"/>
      <c r="BXN22" s="7"/>
      <c r="BXO22" s="9"/>
      <c r="BXP22" s="9"/>
      <c r="BXV22" s="9"/>
      <c r="BXZ22" s="7"/>
      <c r="BYA22" s="7"/>
      <c r="BYB22" s="7"/>
      <c r="BYC22" s="9"/>
      <c r="BYD22" s="9"/>
      <c r="BYJ22" s="9"/>
      <c r="BYN22" s="7"/>
      <c r="BYO22" s="7"/>
      <c r="BYP22" s="7"/>
      <c r="BYQ22" s="9"/>
      <c r="BYR22" s="9"/>
      <c r="BYX22" s="9"/>
      <c r="BZB22" s="7"/>
      <c r="BZC22" s="7"/>
      <c r="BZD22" s="7"/>
      <c r="BZE22" s="9"/>
      <c r="BZF22" s="9"/>
      <c r="BZL22" s="9"/>
      <c r="BZP22" s="7"/>
      <c r="BZQ22" s="7"/>
      <c r="BZR22" s="7"/>
      <c r="BZS22" s="9"/>
      <c r="BZT22" s="9"/>
      <c r="BZZ22" s="9"/>
      <c r="CAD22" s="7"/>
      <c r="CAE22" s="7"/>
      <c r="CAF22" s="7"/>
      <c r="CAG22" s="9"/>
      <c r="CAH22" s="9"/>
      <c r="CAN22" s="9"/>
      <c r="CAR22" s="7"/>
      <c r="CAS22" s="7"/>
      <c r="CAT22" s="7"/>
      <c r="CAU22" s="9"/>
      <c r="CAV22" s="9"/>
      <c r="CBB22" s="9"/>
      <c r="CBF22" s="7"/>
      <c r="CBG22" s="7"/>
      <c r="CBH22" s="7"/>
      <c r="CBI22" s="9"/>
      <c r="CBJ22" s="9"/>
      <c r="CBP22" s="9"/>
      <c r="CBT22" s="7"/>
      <c r="CBU22" s="7"/>
      <c r="CBV22" s="7"/>
      <c r="CBW22" s="9"/>
      <c r="CBX22" s="9"/>
      <c r="CCD22" s="9"/>
      <c r="CCH22" s="7"/>
      <c r="CCI22" s="7"/>
      <c r="CCJ22" s="7"/>
      <c r="CCK22" s="9"/>
      <c r="CCL22" s="9"/>
      <c r="CCR22" s="9"/>
      <c r="CCV22" s="7"/>
      <c r="CCW22" s="7"/>
      <c r="CCX22" s="7"/>
      <c r="CCY22" s="9"/>
      <c r="CCZ22" s="9"/>
      <c r="CDF22" s="9"/>
      <c r="CDJ22" s="7"/>
      <c r="CDK22" s="7"/>
      <c r="CDL22" s="7"/>
      <c r="CDM22" s="9"/>
      <c r="CDN22" s="9"/>
      <c r="CDT22" s="9"/>
      <c r="CDX22" s="7"/>
      <c r="CDY22" s="7"/>
      <c r="CDZ22" s="7"/>
      <c r="CEA22" s="9"/>
      <c r="CEB22" s="9"/>
      <c r="CEH22" s="9"/>
      <c r="CEL22" s="7"/>
      <c r="CEM22" s="7"/>
      <c r="CEN22" s="7"/>
      <c r="CEO22" s="9"/>
      <c r="CEP22" s="9"/>
      <c r="CEV22" s="9"/>
      <c r="CEZ22" s="7"/>
      <c r="CFA22" s="7"/>
      <c r="CFB22" s="7"/>
      <c r="CFC22" s="9"/>
      <c r="CFD22" s="9"/>
      <c r="CFJ22" s="9"/>
      <c r="CFN22" s="7"/>
      <c r="CFO22" s="7"/>
      <c r="CFP22" s="7"/>
      <c r="CFQ22" s="9"/>
      <c r="CFR22" s="9"/>
      <c r="CFX22" s="9"/>
      <c r="CGB22" s="7"/>
      <c r="CGC22" s="7"/>
      <c r="CGD22" s="7"/>
      <c r="CGE22" s="9"/>
      <c r="CGF22" s="9"/>
      <c r="CGL22" s="9"/>
      <c r="CGP22" s="7"/>
      <c r="CGQ22" s="7"/>
      <c r="CGR22" s="7"/>
      <c r="CGS22" s="9"/>
      <c r="CGT22" s="9"/>
      <c r="CGZ22" s="9"/>
      <c r="CHD22" s="7"/>
      <c r="CHE22" s="7"/>
      <c r="CHF22" s="7"/>
      <c r="CHG22" s="9"/>
      <c r="CHH22" s="9"/>
      <c r="CHN22" s="9"/>
      <c r="CHR22" s="7"/>
      <c r="CHS22" s="7"/>
      <c r="CHT22" s="7"/>
      <c r="CHU22" s="9"/>
      <c r="CHV22" s="9"/>
      <c r="CIB22" s="9"/>
      <c r="CIF22" s="7"/>
      <c r="CIG22" s="7"/>
      <c r="CIH22" s="7"/>
      <c r="CII22" s="9"/>
      <c r="CIJ22" s="9"/>
      <c r="CIP22" s="9"/>
      <c r="CIT22" s="7"/>
      <c r="CIU22" s="7"/>
      <c r="CIV22" s="7"/>
      <c r="CIW22" s="9"/>
      <c r="CIX22" s="9"/>
      <c r="CJD22" s="9"/>
      <c r="CJH22" s="7"/>
      <c r="CJI22" s="7"/>
      <c r="CJJ22" s="7"/>
      <c r="CJK22" s="9"/>
      <c r="CJL22" s="9"/>
      <c r="CJR22" s="9"/>
      <c r="CJV22" s="7"/>
      <c r="CJW22" s="7"/>
      <c r="CJX22" s="7"/>
      <c r="CJY22" s="9"/>
      <c r="CJZ22" s="9"/>
      <c r="CKF22" s="9"/>
      <c r="CKJ22" s="7"/>
      <c r="CKK22" s="7"/>
      <c r="CKL22" s="7"/>
      <c r="CKM22" s="9"/>
      <c r="CKN22" s="9"/>
      <c r="CKT22" s="9"/>
      <c r="CKX22" s="7"/>
      <c r="CKY22" s="7"/>
      <c r="CKZ22" s="7"/>
      <c r="CLA22" s="9"/>
      <c r="CLB22" s="9"/>
      <c r="CLH22" s="9"/>
      <c r="CLL22" s="7"/>
      <c r="CLM22" s="7"/>
      <c r="CLN22" s="7"/>
      <c r="CLO22" s="9"/>
      <c r="CLP22" s="9"/>
      <c r="CLV22" s="9"/>
      <c r="CLZ22" s="7"/>
      <c r="CMA22" s="7"/>
      <c r="CMB22" s="7"/>
      <c r="CMC22" s="9"/>
      <c r="CMD22" s="9"/>
      <c r="CMJ22" s="9"/>
      <c r="CMN22" s="7"/>
      <c r="CMO22" s="7"/>
      <c r="CMP22" s="7"/>
      <c r="CMQ22" s="9"/>
      <c r="CMR22" s="9"/>
      <c r="CMX22" s="9"/>
      <c r="CNB22" s="7"/>
      <c r="CNC22" s="7"/>
      <c r="CND22" s="7"/>
      <c r="CNE22" s="9"/>
      <c r="CNF22" s="9"/>
      <c r="CNL22" s="9"/>
      <c r="CNP22" s="7"/>
      <c r="CNQ22" s="7"/>
      <c r="CNR22" s="7"/>
      <c r="CNS22" s="9"/>
      <c r="CNT22" s="9"/>
      <c r="CNZ22" s="9"/>
      <c r="COD22" s="7"/>
      <c r="COE22" s="7"/>
      <c r="COF22" s="7"/>
      <c r="COG22" s="9"/>
      <c r="COH22" s="9"/>
      <c r="CON22" s="9"/>
      <c r="COR22" s="7"/>
      <c r="COS22" s="7"/>
      <c r="COT22" s="7"/>
      <c r="COU22" s="9"/>
      <c r="COV22" s="9"/>
      <c r="CPB22" s="9"/>
      <c r="CPF22" s="7"/>
      <c r="CPG22" s="7"/>
      <c r="CPH22" s="7"/>
      <c r="CPI22" s="9"/>
      <c r="CPJ22" s="9"/>
      <c r="CPP22" s="9"/>
      <c r="CPT22" s="7"/>
      <c r="CPU22" s="7"/>
      <c r="CPV22" s="7"/>
      <c r="CPW22" s="9"/>
      <c r="CPX22" s="9"/>
      <c r="CQD22" s="9"/>
      <c r="CQH22" s="7"/>
      <c r="CQI22" s="7"/>
      <c r="CQJ22" s="7"/>
      <c r="CQK22" s="9"/>
      <c r="CQL22" s="9"/>
      <c r="CQR22" s="9"/>
      <c r="CQV22" s="7"/>
      <c r="CQW22" s="7"/>
      <c r="CQX22" s="7"/>
      <c r="CQY22" s="9"/>
      <c r="CQZ22" s="9"/>
      <c r="CRF22" s="9"/>
      <c r="CRJ22" s="7"/>
      <c r="CRK22" s="7"/>
      <c r="CRL22" s="7"/>
      <c r="CRM22" s="9"/>
      <c r="CRN22" s="9"/>
      <c r="CRT22" s="9"/>
      <c r="CRX22" s="7"/>
      <c r="CRY22" s="7"/>
      <c r="CRZ22" s="7"/>
      <c r="CSA22" s="9"/>
      <c r="CSB22" s="9"/>
      <c r="CSH22" s="9"/>
      <c r="CSL22" s="7"/>
      <c r="CSM22" s="7"/>
      <c r="CSN22" s="7"/>
      <c r="CSO22" s="9"/>
      <c r="CSP22" s="9"/>
      <c r="CSV22" s="9"/>
      <c r="CSZ22" s="7"/>
      <c r="CTA22" s="7"/>
      <c r="CTB22" s="7"/>
      <c r="CTC22" s="9"/>
      <c r="CTD22" s="9"/>
      <c r="CTJ22" s="9"/>
      <c r="CTN22" s="7"/>
      <c r="CTO22" s="7"/>
      <c r="CTP22" s="7"/>
      <c r="CTQ22" s="9"/>
      <c r="CTR22" s="9"/>
      <c r="CTX22" s="9"/>
      <c r="CUB22" s="7"/>
      <c r="CUC22" s="7"/>
      <c r="CUD22" s="7"/>
      <c r="CUE22" s="9"/>
      <c r="CUF22" s="9"/>
      <c r="CUL22" s="9"/>
      <c r="CUP22" s="7"/>
      <c r="CUQ22" s="7"/>
      <c r="CUR22" s="7"/>
      <c r="CUS22" s="9"/>
      <c r="CUT22" s="9"/>
      <c r="CUZ22" s="9"/>
      <c r="CVD22" s="7"/>
      <c r="CVE22" s="7"/>
      <c r="CVF22" s="7"/>
      <c r="CVG22" s="9"/>
      <c r="CVH22" s="9"/>
      <c r="CVN22" s="9"/>
      <c r="CVR22" s="7"/>
      <c r="CVS22" s="7"/>
      <c r="CVT22" s="7"/>
      <c r="CVU22" s="9"/>
      <c r="CVV22" s="9"/>
      <c r="CWB22" s="9"/>
      <c r="CWF22" s="7"/>
      <c r="CWG22" s="7"/>
      <c r="CWH22" s="7"/>
      <c r="CWI22" s="9"/>
      <c r="CWJ22" s="9"/>
      <c r="CWP22" s="9"/>
      <c r="CWT22" s="7"/>
      <c r="CWU22" s="7"/>
      <c r="CWV22" s="7"/>
      <c r="CWW22" s="9"/>
      <c r="CWX22" s="9"/>
      <c r="CXD22" s="9"/>
      <c r="CXH22" s="7"/>
      <c r="CXI22" s="7"/>
      <c r="CXJ22" s="7"/>
      <c r="CXK22" s="9"/>
      <c r="CXL22" s="9"/>
      <c r="CXR22" s="9"/>
      <c r="CXV22" s="7"/>
      <c r="CXW22" s="7"/>
      <c r="CXX22" s="7"/>
      <c r="CXY22" s="9"/>
      <c r="CXZ22" s="9"/>
      <c r="CYF22" s="9"/>
      <c r="CYJ22" s="7"/>
      <c r="CYK22" s="7"/>
      <c r="CYL22" s="7"/>
      <c r="CYM22" s="9"/>
      <c r="CYN22" s="9"/>
      <c r="CYT22" s="9"/>
      <c r="CYX22" s="7"/>
      <c r="CYY22" s="7"/>
      <c r="CYZ22" s="7"/>
      <c r="CZA22" s="9"/>
      <c r="CZB22" s="9"/>
      <c r="CZH22" s="9"/>
      <c r="CZL22" s="7"/>
      <c r="CZM22" s="7"/>
      <c r="CZN22" s="7"/>
      <c r="CZO22" s="9"/>
      <c r="CZP22" s="9"/>
      <c r="CZV22" s="9"/>
      <c r="CZZ22" s="7"/>
      <c r="DAA22" s="7"/>
      <c r="DAB22" s="7"/>
      <c r="DAC22" s="9"/>
      <c r="DAD22" s="9"/>
      <c r="DAJ22" s="9"/>
      <c r="DAN22" s="7"/>
      <c r="DAO22" s="7"/>
      <c r="DAP22" s="7"/>
      <c r="DAQ22" s="9"/>
      <c r="DAR22" s="9"/>
      <c r="DAX22" s="9"/>
      <c r="DBB22" s="7"/>
      <c r="DBC22" s="7"/>
      <c r="DBD22" s="7"/>
      <c r="DBE22" s="9"/>
      <c r="DBF22" s="9"/>
      <c r="DBL22" s="9"/>
      <c r="DBP22" s="7"/>
      <c r="DBQ22" s="7"/>
      <c r="DBR22" s="7"/>
      <c r="DBS22" s="9"/>
      <c r="DBT22" s="9"/>
      <c r="DBZ22" s="9"/>
      <c r="DCD22" s="7"/>
      <c r="DCE22" s="7"/>
      <c r="DCF22" s="7"/>
      <c r="DCG22" s="9"/>
      <c r="DCH22" s="9"/>
      <c r="DCN22" s="9"/>
      <c r="DCR22" s="7"/>
      <c r="DCS22" s="7"/>
      <c r="DCT22" s="7"/>
      <c r="DCU22" s="9"/>
      <c r="DCV22" s="9"/>
      <c r="DDB22" s="9"/>
      <c r="DDF22" s="7"/>
      <c r="DDG22" s="7"/>
      <c r="DDH22" s="7"/>
      <c r="DDI22" s="9"/>
      <c r="DDJ22" s="9"/>
      <c r="DDP22" s="9"/>
      <c r="DDT22" s="7"/>
      <c r="DDU22" s="7"/>
      <c r="DDV22" s="7"/>
      <c r="DDW22" s="9"/>
      <c r="DDX22" s="9"/>
      <c r="DED22" s="9"/>
      <c r="DEH22" s="7"/>
      <c r="DEI22" s="7"/>
      <c r="DEJ22" s="7"/>
      <c r="DEK22" s="9"/>
      <c r="DEL22" s="9"/>
      <c r="DER22" s="9"/>
      <c r="DEV22" s="7"/>
      <c r="DEW22" s="7"/>
      <c r="DEX22" s="7"/>
      <c r="DEY22" s="9"/>
      <c r="DEZ22" s="9"/>
      <c r="DFF22" s="9"/>
      <c r="DFJ22" s="7"/>
      <c r="DFK22" s="7"/>
      <c r="DFL22" s="7"/>
      <c r="DFM22" s="9"/>
      <c r="DFN22" s="9"/>
      <c r="DFT22" s="9"/>
      <c r="DFX22" s="7"/>
      <c r="DFY22" s="7"/>
      <c r="DFZ22" s="7"/>
      <c r="DGA22" s="9"/>
      <c r="DGB22" s="9"/>
      <c r="DGH22" s="9"/>
      <c r="DGL22" s="7"/>
      <c r="DGM22" s="7"/>
      <c r="DGN22" s="7"/>
      <c r="DGO22" s="9"/>
      <c r="DGP22" s="9"/>
      <c r="DGV22" s="9"/>
      <c r="DGZ22" s="7"/>
      <c r="DHA22" s="7"/>
      <c r="DHB22" s="7"/>
      <c r="DHC22" s="9"/>
      <c r="DHD22" s="9"/>
      <c r="DHJ22" s="9"/>
      <c r="DHN22" s="7"/>
      <c r="DHO22" s="7"/>
      <c r="DHP22" s="7"/>
      <c r="DHQ22" s="9"/>
      <c r="DHR22" s="9"/>
      <c r="DHX22" s="9"/>
      <c r="DIB22" s="7"/>
      <c r="DIC22" s="7"/>
      <c r="DID22" s="7"/>
      <c r="DIE22" s="9"/>
      <c r="DIF22" s="9"/>
      <c r="DIL22" s="9"/>
      <c r="DIP22" s="7"/>
      <c r="DIQ22" s="7"/>
      <c r="DIR22" s="7"/>
      <c r="DIS22" s="9"/>
      <c r="DIT22" s="9"/>
      <c r="DIZ22" s="9"/>
      <c r="DJD22" s="7"/>
      <c r="DJE22" s="7"/>
      <c r="DJF22" s="7"/>
      <c r="DJG22" s="9"/>
      <c r="DJH22" s="9"/>
      <c r="DJN22" s="9"/>
      <c r="DJR22" s="7"/>
      <c r="DJS22" s="7"/>
      <c r="DJT22" s="7"/>
      <c r="DJU22" s="9"/>
      <c r="DJV22" s="9"/>
      <c r="DKB22" s="9"/>
      <c r="DKF22" s="7"/>
      <c r="DKG22" s="7"/>
      <c r="DKH22" s="7"/>
      <c r="DKI22" s="9"/>
      <c r="DKJ22" s="9"/>
      <c r="DKP22" s="9"/>
      <c r="DKT22" s="7"/>
      <c r="DKU22" s="7"/>
      <c r="DKV22" s="7"/>
      <c r="DKW22" s="9"/>
      <c r="DKX22" s="9"/>
      <c r="DLD22" s="9"/>
      <c r="DLH22" s="7"/>
      <c r="DLI22" s="7"/>
      <c r="DLJ22" s="7"/>
      <c r="DLK22" s="9"/>
      <c r="DLL22" s="9"/>
      <c r="DLR22" s="9"/>
      <c r="DLV22" s="7"/>
      <c r="DLW22" s="7"/>
      <c r="DLX22" s="7"/>
      <c r="DLY22" s="9"/>
      <c r="DLZ22" s="9"/>
      <c r="DMF22" s="9"/>
      <c r="DMJ22" s="7"/>
      <c r="DMK22" s="7"/>
      <c r="DML22" s="7"/>
      <c r="DMM22" s="9"/>
      <c r="DMN22" s="9"/>
      <c r="DMT22" s="9"/>
      <c r="DMX22" s="7"/>
      <c r="DMY22" s="7"/>
      <c r="DMZ22" s="7"/>
      <c r="DNA22" s="9"/>
      <c r="DNB22" s="9"/>
      <c r="DNH22" s="9"/>
      <c r="DNL22" s="7"/>
      <c r="DNM22" s="7"/>
      <c r="DNN22" s="7"/>
      <c r="DNO22" s="9"/>
      <c r="DNP22" s="9"/>
      <c r="DNV22" s="9"/>
      <c r="DNZ22" s="7"/>
      <c r="DOA22" s="7"/>
      <c r="DOB22" s="7"/>
      <c r="DOC22" s="9"/>
      <c r="DOD22" s="9"/>
      <c r="DOJ22" s="9"/>
      <c r="DON22" s="7"/>
      <c r="DOO22" s="7"/>
      <c r="DOP22" s="7"/>
      <c r="DOQ22" s="9"/>
      <c r="DOR22" s="9"/>
      <c r="DOX22" s="9"/>
      <c r="DPB22" s="7"/>
      <c r="DPC22" s="7"/>
      <c r="DPD22" s="7"/>
      <c r="DPE22" s="9"/>
      <c r="DPF22" s="9"/>
      <c r="DPL22" s="9"/>
      <c r="DPP22" s="7"/>
      <c r="DPQ22" s="7"/>
      <c r="DPR22" s="7"/>
      <c r="DPS22" s="9"/>
      <c r="DPT22" s="9"/>
      <c r="DPZ22" s="9"/>
      <c r="DQD22" s="7"/>
      <c r="DQE22" s="7"/>
      <c r="DQF22" s="7"/>
      <c r="DQG22" s="9"/>
      <c r="DQH22" s="9"/>
      <c r="DQN22" s="9"/>
      <c r="DQR22" s="7"/>
      <c r="DQS22" s="7"/>
      <c r="DQT22" s="7"/>
      <c r="DQU22" s="9"/>
      <c r="DQV22" s="9"/>
      <c r="DRB22" s="9"/>
      <c r="DRF22" s="7"/>
      <c r="DRG22" s="7"/>
      <c r="DRH22" s="7"/>
      <c r="DRI22" s="9"/>
      <c r="DRJ22" s="9"/>
      <c r="DRP22" s="9"/>
      <c r="DRT22" s="7"/>
      <c r="DRU22" s="7"/>
      <c r="DRV22" s="7"/>
      <c r="DRW22" s="9"/>
      <c r="DRX22" s="9"/>
      <c r="DSD22" s="9"/>
      <c r="DSH22" s="7"/>
      <c r="DSI22" s="7"/>
      <c r="DSJ22" s="7"/>
      <c r="DSK22" s="9"/>
      <c r="DSL22" s="9"/>
      <c r="DSR22" s="9"/>
      <c r="DSV22" s="7"/>
      <c r="DSW22" s="7"/>
      <c r="DSX22" s="7"/>
      <c r="DSY22" s="9"/>
      <c r="DSZ22" s="9"/>
      <c r="DTF22" s="9"/>
      <c r="DTJ22" s="7"/>
      <c r="DTK22" s="7"/>
      <c r="DTL22" s="7"/>
      <c r="DTM22" s="9"/>
      <c r="DTN22" s="9"/>
      <c r="DTT22" s="9"/>
      <c r="DTX22" s="7"/>
      <c r="DTY22" s="7"/>
      <c r="DTZ22" s="7"/>
      <c r="DUA22" s="9"/>
      <c r="DUB22" s="9"/>
      <c r="DUH22" s="9"/>
      <c r="DUL22" s="7"/>
      <c r="DUM22" s="7"/>
      <c r="DUN22" s="7"/>
      <c r="DUO22" s="9"/>
      <c r="DUP22" s="9"/>
      <c r="DUV22" s="9"/>
      <c r="DUZ22" s="7"/>
      <c r="DVA22" s="7"/>
      <c r="DVB22" s="7"/>
      <c r="DVC22" s="9"/>
      <c r="DVD22" s="9"/>
      <c r="DVJ22" s="9"/>
      <c r="DVN22" s="7"/>
      <c r="DVO22" s="7"/>
      <c r="DVP22" s="7"/>
      <c r="DVQ22" s="9"/>
      <c r="DVR22" s="9"/>
      <c r="DVX22" s="9"/>
      <c r="DWB22" s="7"/>
      <c r="DWC22" s="7"/>
      <c r="DWD22" s="7"/>
      <c r="DWE22" s="9"/>
      <c r="DWF22" s="9"/>
      <c r="DWL22" s="9"/>
      <c r="DWP22" s="7"/>
      <c r="DWQ22" s="7"/>
      <c r="DWR22" s="7"/>
      <c r="DWS22" s="9"/>
      <c r="DWT22" s="9"/>
      <c r="DWZ22" s="9"/>
      <c r="DXD22" s="7"/>
      <c r="DXE22" s="7"/>
      <c r="DXF22" s="7"/>
      <c r="DXG22" s="9"/>
      <c r="DXH22" s="9"/>
      <c r="DXN22" s="9"/>
      <c r="DXR22" s="7"/>
      <c r="DXS22" s="7"/>
      <c r="DXT22" s="7"/>
      <c r="DXU22" s="9"/>
      <c r="DXV22" s="9"/>
      <c r="DYB22" s="9"/>
      <c r="DYF22" s="7"/>
      <c r="DYG22" s="7"/>
      <c r="DYH22" s="7"/>
      <c r="DYI22" s="9"/>
      <c r="DYJ22" s="9"/>
      <c r="DYP22" s="9"/>
      <c r="DYT22" s="7"/>
      <c r="DYU22" s="7"/>
      <c r="DYV22" s="7"/>
      <c r="DYW22" s="9"/>
      <c r="DYX22" s="9"/>
      <c r="DZD22" s="9"/>
      <c r="DZH22" s="7"/>
      <c r="DZI22" s="7"/>
      <c r="DZJ22" s="7"/>
      <c r="DZK22" s="9"/>
      <c r="DZL22" s="9"/>
      <c r="DZR22" s="9"/>
      <c r="DZV22" s="7"/>
      <c r="DZW22" s="7"/>
      <c r="DZX22" s="7"/>
      <c r="DZY22" s="9"/>
      <c r="DZZ22" s="9"/>
      <c r="EAF22" s="9"/>
      <c r="EAJ22" s="7"/>
      <c r="EAK22" s="7"/>
      <c r="EAL22" s="7"/>
      <c r="EAM22" s="9"/>
      <c r="EAN22" s="9"/>
      <c r="EAT22" s="9"/>
      <c r="EAX22" s="7"/>
      <c r="EAY22" s="7"/>
      <c r="EAZ22" s="7"/>
      <c r="EBA22" s="9"/>
      <c r="EBB22" s="9"/>
      <c r="EBH22" s="9"/>
      <c r="EBL22" s="7"/>
      <c r="EBM22" s="7"/>
      <c r="EBN22" s="7"/>
      <c r="EBO22" s="9"/>
      <c r="EBP22" s="9"/>
      <c r="EBV22" s="9"/>
      <c r="EBZ22" s="7"/>
      <c r="ECA22" s="7"/>
      <c r="ECB22" s="7"/>
      <c r="ECC22" s="9"/>
      <c r="ECD22" s="9"/>
      <c r="ECJ22" s="9"/>
      <c r="ECN22" s="7"/>
      <c r="ECO22" s="7"/>
      <c r="ECP22" s="7"/>
      <c r="ECQ22" s="9"/>
      <c r="ECR22" s="9"/>
      <c r="ECX22" s="9"/>
      <c r="EDB22" s="7"/>
      <c r="EDC22" s="7"/>
      <c r="EDD22" s="7"/>
      <c r="EDE22" s="9"/>
      <c r="EDF22" s="9"/>
      <c r="EDL22" s="9"/>
      <c r="EDP22" s="7"/>
      <c r="EDQ22" s="7"/>
      <c r="EDR22" s="7"/>
      <c r="EDS22" s="9"/>
      <c r="EDT22" s="9"/>
      <c r="EDZ22" s="9"/>
      <c r="EED22" s="7"/>
      <c r="EEE22" s="7"/>
      <c r="EEF22" s="7"/>
      <c r="EEG22" s="9"/>
      <c r="EEH22" s="9"/>
      <c r="EEN22" s="9"/>
      <c r="EER22" s="7"/>
      <c r="EES22" s="7"/>
      <c r="EET22" s="7"/>
      <c r="EEU22" s="9"/>
      <c r="EEV22" s="9"/>
      <c r="EFB22" s="9"/>
      <c r="EFF22" s="7"/>
      <c r="EFG22" s="7"/>
      <c r="EFH22" s="7"/>
      <c r="EFI22" s="9"/>
      <c r="EFJ22" s="9"/>
      <c r="EFP22" s="9"/>
      <c r="EFT22" s="7"/>
      <c r="EFU22" s="7"/>
      <c r="EFV22" s="7"/>
      <c r="EFW22" s="9"/>
      <c r="EFX22" s="9"/>
      <c r="EGD22" s="9"/>
      <c r="EGH22" s="7"/>
      <c r="EGI22" s="7"/>
      <c r="EGJ22" s="7"/>
      <c r="EGK22" s="9"/>
      <c r="EGL22" s="9"/>
      <c r="EGR22" s="9"/>
      <c r="EGV22" s="7"/>
      <c r="EGW22" s="7"/>
      <c r="EGX22" s="7"/>
      <c r="EGY22" s="9"/>
      <c r="EGZ22" s="9"/>
      <c r="EHF22" s="9"/>
      <c r="EHJ22" s="7"/>
      <c r="EHK22" s="7"/>
      <c r="EHL22" s="7"/>
      <c r="EHM22" s="9"/>
      <c r="EHN22" s="9"/>
      <c r="EHT22" s="9"/>
      <c r="EHX22" s="7"/>
      <c r="EHY22" s="7"/>
      <c r="EHZ22" s="7"/>
      <c r="EIA22" s="9"/>
      <c r="EIB22" s="9"/>
      <c r="EIH22" s="9"/>
      <c r="EIL22" s="7"/>
      <c r="EIM22" s="7"/>
      <c r="EIN22" s="7"/>
      <c r="EIO22" s="9"/>
      <c r="EIP22" s="9"/>
      <c r="EIV22" s="9"/>
      <c r="EIZ22" s="7"/>
      <c r="EJA22" s="7"/>
      <c r="EJB22" s="7"/>
      <c r="EJC22" s="9"/>
      <c r="EJD22" s="9"/>
      <c r="EJJ22" s="9"/>
      <c r="EJN22" s="7"/>
      <c r="EJO22" s="7"/>
      <c r="EJP22" s="7"/>
      <c r="EJQ22" s="9"/>
      <c r="EJR22" s="9"/>
      <c r="EJX22" s="9"/>
      <c r="EKB22" s="7"/>
      <c r="EKC22" s="7"/>
      <c r="EKD22" s="7"/>
      <c r="EKE22" s="9"/>
      <c r="EKF22" s="9"/>
      <c r="EKL22" s="9"/>
      <c r="EKP22" s="7"/>
      <c r="EKQ22" s="7"/>
      <c r="EKR22" s="7"/>
      <c r="EKS22" s="9"/>
      <c r="EKT22" s="9"/>
      <c r="EKZ22" s="9"/>
      <c r="ELD22" s="7"/>
      <c r="ELE22" s="7"/>
      <c r="ELF22" s="7"/>
      <c r="ELG22" s="9"/>
      <c r="ELH22" s="9"/>
      <c r="ELN22" s="9"/>
      <c r="ELR22" s="7"/>
      <c r="ELS22" s="7"/>
      <c r="ELT22" s="7"/>
      <c r="ELU22" s="9"/>
      <c r="ELV22" s="9"/>
      <c r="EMB22" s="9"/>
      <c r="EMF22" s="7"/>
      <c r="EMG22" s="7"/>
      <c r="EMH22" s="7"/>
      <c r="EMI22" s="9"/>
      <c r="EMJ22" s="9"/>
      <c r="EMP22" s="9"/>
      <c r="EMT22" s="7"/>
      <c r="EMU22" s="7"/>
      <c r="EMV22" s="7"/>
      <c r="EMW22" s="9"/>
      <c r="EMX22" s="9"/>
      <c r="END22" s="9"/>
      <c r="ENH22" s="7"/>
      <c r="ENI22" s="7"/>
      <c r="ENJ22" s="7"/>
      <c r="ENK22" s="9"/>
      <c r="ENL22" s="9"/>
      <c r="ENR22" s="9"/>
      <c r="ENV22" s="7"/>
      <c r="ENW22" s="7"/>
      <c r="ENX22" s="7"/>
      <c r="ENY22" s="9"/>
      <c r="ENZ22" s="9"/>
      <c r="EOF22" s="9"/>
      <c r="EOJ22" s="7"/>
      <c r="EOK22" s="7"/>
      <c r="EOL22" s="7"/>
      <c r="EOM22" s="9"/>
      <c r="EON22" s="9"/>
      <c r="EOT22" s="9"/>
      <c r="EOX22" s="7"/>
      <c r="EOY22" s="7"/>
      <c r="EOZ22" s="7"/>
      <c r="EPA22" s="9"/>
      <c r="EPB22" s="9"/>
      <c r="EPH22" s="9"/>
      <c r="EPL22" s="7"/>
      <c r="EPM22" s="7"/>
      <c r="EPN22" s="7"/>
      <c r="EPO22" s="9"/>
      <c r="EPP22" s="9"/>
      <c r="EPV22" s="9"/>
      <c r="EPZ22" s="7"/>
      <c r="EQA22" s="7"/>
      <c r="EQB22" s="7"/>
      <c r="EQC22" s="9"/>
      <c r="EQD22" s="9"/>
      <c r="EQJ22" s="9"/>
      <c r="EQN22" s="7"/>
      <c r="EQO22" s="7"/>
      <c r="EQP22" s="7"/>
      <c r="EQQ22" s="9"/>
      <c r="EQR22" s="9"/>
      <c r="EQX22" s="9"/>
      <c r="ERB22" s="7"/>
      <c r="ERC22" s="7"/>
      <c r="ERD22" s="7"/>
      <c r="ERE22" s="9"/>
      <c r="ERF22" s="9"/>
      <c r="ERL22" s="9"/>
      <c r="ERP22" s="7"/>
      <c r="ERQ22" s="7"/>
      <c r="ERR22" s="7"/>
      <c r="ERS22" s="9"/>
      <c r="ERT22" s="9"/>
      <c r="ERZ22" s="9"/>
      <c r="ESD22" s="7"/>
      <c r="ESE22" s="7"/>
      <c r="ESF22" s="7"/>
      <c r="ESG22" s="9"/>
      <c r="ESH22" s="9"/>
      <c r="ESN22" s="9"/>
      <c r="ESR22" s="7"/>
      <c r="ESS22" s="7"/>
      <c r="EST22" s="7"/>
      <c r="ESU22" s="9"/>
      <c r="ESV22" s="9"/>
      <c r="ETB22" s="9"/>
      <c r="ETF22" s="7"/>
      <c r="ETG22" s="7"/>
      <c r="ETH22" s="7"/>
      <c r="ETI22" s="9"/>
      <c r="ETJ22" s="9"/>
      <c r="ETP22" s="9"/>
      <c r="ETT22" s="7"/>
      <c r="ETU22" s="7"/>
      <c r="ETV22" s="7"/>
      <c r="ETW22" s="9"/>
      <c r="ETX22" s="9"/>
      <c r="EUD22" s="9"/>
      <c r="EUH22" s="7"/>
      <c r="EUI22" s="7"/>
      <c r="EUJ22" s="7"/>
      <c r="EUK22" s="9"/>
      <c r="EUL22" s="9"/>
      <c r="EUR22" s="9"/>
      <c r="EUV22" s="7"/>
      <c r="EUW22" s="7"/>
      <c r="EUX22" s="7"/>
      <c r="EUY22" s="9"/>
      <c r="EUZ22" s="9"/>
      <c r="EVF22" s="9"/>
      <c r="EVJ22" s="7"/>
      <c r="EVK22" s="7"/>
      <c r="EVL22" s="7"/>
      <c r="EVM22" s="9"/>
      <c r="EVN22" s="9"/>
      <c r="EVT22" s="9"/>
      <c r="EVX22" s="7"/>
      <c r="EVY22" s="7"/>
      <c r="EVZ22" s="7"/>
      <c r="EWA22" s="9"/>
      <c r="EWB22" s="9"/>
      <c r="EWH22" s="9"/>
      <c r="EWL22" s="7"/>
      <c r="EWM22" s="7"/>
      <c r="EWN22" s="7"/>
      <c r="EWO22" s="9"/>
      <c r="EWP22" s="9"/>
      <c r="EWV22" s="9"/>
      <c r="EWZ22" s="7"/>
      <c r="EXA22" s="7"/>
      <c r="EXB22" s="7"/>
      <c r="EXC22" s="9"/>
      <c r="EXD22" s="9"/>
      <c r="EXJ22" s="9"/>
      <c r="EXN22" s="7"/>
      <c r="EXO22" s="7"/>
      <c r="EXP22" s="7"/>
      <c r="EXQ22" s="9"/>
      <c r="EXR22" s="9"/>
      <c r="EXX22" s="9"/>
      <c r="EYB22" s="7"/>
      <c r="EYC22" s="7"/>
      <c r="EYD22" s="7"/>
      <c r="EYE22" s="9"/>
      <c r="EYF22" s="9"/>
      <c r="EYL22" s="9"/>
      <c r="EYP22" s="7"/>
      <c r="EYQ22" s="7"/>
      <c r="EYR22" s="7"/>
      <c r="EYS22" s="9"/>
      <c r="EYT22" s="9"/>
      <c r="EYZ22" s="9"/>
      <c r="EZD22" s="7"/>
      <c r="EZE22" s="7"/>
      <c r="EZF22" s="7"/>
      <c r="EZG22" s="9"/>
      <c r="EZH22" s="9"/>
      <c r="EZN22" s="9"/>
      <c r="EZR22" s="7"/>
      <c r="EZS22" s="7"/>
      <c r="EZT22" s="7"/>
      <c r="EZU22" s="9"/>
      <c r="EZV22" s="9"/>
      <c r="FAB22" s="9"/>
      <c r="FAF22" s="7"/>
      <c r="FAG22" s="7"/>
      <c r="FAH22" s="7"/>
      <c r="FAI22" s="9"/>
      <c r="FAJ22" s="9"/>
      <c r="FAP22" s="9"/>
      <c r="FAT22" s="7"/>
      <c r="FAU22" s="7"/>
      <c r="FAV22" s="7"/>
      <c r="FAW22" s="9"/>
      <c r="FAX22" s="9"/>
      <c r="FBD22" s="9"/>
      <c r="FBH22" s="7"/>
      <c r="FBI22" s="7"/>
      <c r="FBJ22" s="7"/>
      <c r="FBK22" s="9"/>
      <c r="FBL22" s="9"/>
      <c r="FBR22" s="9"/>
      <c r="FBV22" s="7"/>
      <c r="FBW22" s="7"/>
      <c r="FBX22" s="7"/>
      <c r="FBY22" s="9"/>
      <c r="FBZ22" s="9"/>
      <c r="FCF22" s="9"/>
      <c r="FCJ22" s="7"/>
      <c r="FCK22" s="7"/>
      <c r="FCL22" s="7"/>
      <c r="FCM22" s="9"/>
      <c r="FCN22" s="9"/>
      <c r="FCT22" s="9"/>
      <c r="FCX22" s="7"/>
      <c r="FCY22" s="7"/>
      <c r="FCZ22" s="7"/>
      <c r="FDA22" s="9"/>
      <c r="FDB22" s="9"/>
      <c r="FDH22" s="9"/>
      <c r="FDL22" s="7"/>
      <c r="FDM22" s="7"/>
      <c r="FDN22" s="7"/>
      <c r="FDO22" s="9"/>
      <c r="FDP22" s="9"/>
      <c r="FDV22" s="9"/>
      <c r="FDZ22" s="7"/>
      <c r="FEA22" s="7"/>
      <c r="FEB22" s="7"/>
      <c r="FEC22" s="9"/>
      <c r="FED22" s="9"/>
      <c r="FEJ22" s="9"/>
      <c r="FEN22" s="7"/>
      <c r="FEO22" s="7"/>
      <c r="FEP22" s="7"/>
      <c r="FEQ22" s="9"/>
      <c r="FER22" s="9"/>
      <c r="FEX22" s="9"/>
      <c r="FFB22" s="7"/>
      <c r="FFC22" s="7"/>
      <c r="FFD22" s="7"/>
      <c r="FFE22" s="9"/>
      <c r="FFF22" s="9"/>
      <c r="FFL22" s="9"/>
      <c r="FFP22" s="7"/>
      <c r="FFQ22" s="7"/>
      <c r="FFR22" s="7"/>
      <c r="FFS22" s="9"/>
      <c r="FFT22" s="9"/>
      <c r="FFZ22" s="9"/>
      <c r="FGD22" s="7"/>
      <c r="FGE22" s="7"/>
      <c r="FGF22" s="7"/>
      <c r="FGG22" s="9"/>
      <c r="FGH22" s="9"/>
      <c r="FGN22" s="9"/>
      <c r="FGR22" s="7"/>
      <c r="FGS22" s="7"/>
      <c r="FGT22" s="7"/>
      <c r="FGU22" s="9"/>
      <c r="FGV22" s="9"/>
      <c r="FHB22" s="9"/>
      <c r="FHF22" s="7"/>
      <c r="FHG22" s="7"/>
      <c r="FHH22" s="7"/>
      <c r="FHI22" s="9"/>
      <c r="FHJ22" s="9"/>
      <c r="FHP22" s="9"/>
      <c r="FHT22" s="7"/>
      <c r="FHU22" s="7"/>
      <c r="FHV22" s="7"/>
      <c r="FHW22" s="9"/>
      <c r="FHX22" s="9"/>
      <c r="FID22" s="9"/>
      <c r="FIH22" s="7"/>
      <c r="FII22" s="7"/>
      <c r="FIJ22" s="7"/>
      <c r="FIK22" s="9"/>
      <c r="FIL22" s="9"/>
      <c r="FIR22" s="9"/>
      <c r="FIV22" s="7"/>
      <c r="FIW22" s="7"/>
      <c r="FIX22" s="7"/>
      <c r="FIY22" s="9"/>
      <c r="FIZ22" s="9"/>
      <c r="FJF22" s="9"/>
      <c r="FJJ22" s="7"/>
      <c r="FJK22" s="7"/>
      <c r="FJL22" s="7"/>
      <c r="FJM22" s="9"/>
      <c r="FJN22" s="9"/>
      <c r="FJT22" s="9"/>
      <c r="FJX22" s="7"/>
      <c r="FJY22" s="7"/>
      <c r="FJZ22" s="7"/>
      <c r="FKA22" s="9"/>
      <c r="FKB22" s="9"/>
      <c r="FKH22" s="9"/>
      <c r="FKL22" s="7"/>
      <c r="FKM22" s="7"/>
      <c r="FKN22" s="7"/>
      <c r="FKO22" s="9"/>
      <c r="FKP22" s="9"/>
      <c r="FKV22" s="9"/>
      <c r="FKZ22" s="7"/>
      <c r="FLA22" s="7"/>
      <c r="FLB22" s="7"/>
      <c r="FLC22" s="9"/>
      <c r="FLD22" s="9"/>
      <c r="FLJ22" s="9"/>
      <c r="FLN22" s="7"/>
      <c r="FLO22" s="7"/>
      <c r="FLP22" s="7"/>
      <c r="FLQ22" s="9"/>
      <c r="FLR22" s="9"/>
      <c r="FLX22" s="9"/>
      <c r="FMB22" s="7"/>
      <c r="FMC22" s="7"/>
      <c r="FMD22" s="7"/>
      <c r="FME22" s="9"/>
      <c r="FMF22" s="9"/>
      <c r="FML22" s="9"/>
      <c r="FMP22" s="7"/>
      <c r="FMQ22" s="7"/>
      <c r="FMR22" s="7"/>
      <c r="FMS22" s="9"/>
      <c r="FMT22" s="9"/>
      <c r="FMZ22" s="9"/>
      <c r="FND22" s="7"/>
      <c r="FNE22" s="7"/>
      <c r="FNF22" s="7"/>
      <c r="FNG22" s="9"/>
      <c r="FNH22" s="9"/>
      <c r="FNN22" s="9"/>
      <c r="FNR22" s="7"/>
      <c r="FNS22" s="7"/>
      <c r="FNT22" s="7"/>
      <c r="FNU22" s="9"/>
      <c r="FNV22" s="9"/>
      <c r="FOB22" s="9"/>
      <c r="FOF22" s="7"/>
      <c r="FOG22" s="7"/>
      <c r="FOH22" s="7"/>
      <c r="FOI22" s="9"/>
      <c r="FOJ22" s="9"/>
      <c r="FOP22" s="9"/>
      <c r="FOT22" s="7"/>
      <c r="FOU22" s="7"/>
      <c r="FOV22" s="7"/>
      <c r="FOW22" s="9"/>
      <c r="FOX22" s="9"/>
      <c r="FPD22" s="9"/>
      <c r="FPH22" s="7"/>
      <c r="FPI22" s="7"/>
      <c r="FPJ22" s="7"/>
      <c r="FPK22" s="9"/>
      <c r="FPL22" s="9"/>
      <c r="FPR22" s="9"/>
      <c r="FPV22" s="7"/>
      <c r="FPW22" s="7"/>
      <c r="FPX22" s="7"/>
      <c r="FPY22" s="9"/>
      <c r="FPZ22" s="9"/>
      <c r="FQF22" s="9"/>
      <c r="FQJ22" s="7"/>
      <c r="FQK22" s="7"/>
      <c r="FQL22" s="7"/>
      <c r="FQM22" s="9"/>
      <c r="FQN22" s="9"/>
      <c r="FQT22" s="9"/>
      <c r="FQX22" s="7"/>
      <c r="FQY22" s="7"/>
      <c r="FQZ22" s="7"/>
      <c r="FRA22" s="9"/>
      <c r="FRB22" s="9"/>
      <c r="FRH22" s="9"/>
      <c r="FRL22" s="7"/>
      <c r="FRM22" s="7"/>
      <c r="FRN22" s="7"/>
      <c r="FRO22" s="9"/>
      <c r="FRP22" s="9"/>
      <c r="FRV22" s="9"/>
      <c r="FRZ22" s="7"/>
      <c r="FSA22" s="7"/>
      <c r="FSB22" s="7"/>
      <c r="FSC22" s="9"/>
      <c r="FSD22" s="9"/>
      <c r="FSJ22" s="9"/>
      <c r="FSN22" s="7"/>
      <c r="FSO22" s="7"/>
      <c r="FSP22" s="7"/>
      <c r="FSQ22" s="9"/>
      <c r="FSR22" s="9"/>
      <c r="FSX22" s="9"/>
      <c r="FTB22" s="7"/>
      <c r="FTC22" s="7"/>
      <c r="FTD22" s="7"/>
      <c r="FTE22" s="9"/>
      <c r="FTF22" s="9"/>
      <c r="FTL22" s="9"/>
      <c r="FTP22" s="7"/>
      <c r="FTQ22" s="7"/>
      <c r="FTR22" s="7"/>
      <c r="FTS22" s="9"/>
      <c r="FTT22" s="9"/>
      <c r="FTZ22" s="9"/>
      <c r="FUD22" s="7"/>
      <c r="FUE22" s="7"/>
      <c r="FUF22" s="7"/>
      <c r="FUG22" s="9"/>
      <c r="FUH22" s="9"/>
      <c r="FUN22" s="9"/>
      <c r="FUR22" s="7"/>
      <c r="FUS22" s="7"/>
      <c r="FUT22" s="7"/>
      <c r="FUU22" s="9"/>
      <c r="FUV22" s="9"/>
      <c r="FVB22" s="9"/>
      <c r="FVF22" s="7"/>
      <c r="FVG22" s="7"/>
      <c r="FVH22" s="7"/>
      <c r="FVI22" s="9"/>
      <c r="FVJ22" s="9"/>
      <c r="FVP22" s="9"/>
      <c r="FVT22" s="7"/>
      <c r="FVU22" s="7"/>
      <c r="FVV22" s="7"/>
      <c r="FVW22" s="9"/>
      <c r="FVX22" s="9"/>
      <c r="FWD22" s="9"/>
      <c r="FWH22" s="7"/>
      <c r="FWI22" s="7"/>
      <c r="FWJ22" s="7"/>
      <c r="FWK22" s="9"/>
      <c r="FWL22" s="9"/>
      <c r="FWR22" s="9"/>
      <c r="FWV22" s="7"/>
      <c r="FWW22" s="7"/>
      <c r="FWX22" s="7"/>
      <c r="FWY22" s="9"/>
      <c r="FWZ22" s="9"/>
      <c r="FXF22" s="9"/>
      <c r="FXJ22" s="7"/>
      <c r="FXK22" s="7"/>
      <c r="FXL22" s="7"/>
      <c r="FXM22" s="9"/>
      <c r="FXN22" s="9"/>
      <c r="FXT22" s="9"/>
      <c r="FXX22" s="7"/>
      <c r="FXY22" s="7"/>
      <c r="FXZ22" s="7"/>
      <c r="FYA22" s="9"/>
      <c r="FYB22" s="9"/>
      <c r="FYH22" s="9"/>
      <c r="FYL22" s="7"/>
      <c r="FYM22" s="7"/>
      <c r="FYN22" s="7"/>
      <c r="FYO22" s="9"/>
      <c r="FYP22" s="9"/>
      <c r="FYV22" s="9"/>
      <c r="FYZ22" s="7"/>
      <c r="FZA22" s="7"/>
      <c r="FZB22" s="7"/>
      <c r="FZC22" s="9"/>
      <c r="FZD22" s="9"/>
      <c r="FZJ22" s="9"/>
      <c r="FZN22" s="7"/>
      <c r="FZO22" s="7"/>
      <c r="FZP22" s="7"/>
      <c r="FZQ22" s="9"/>
      <c r="FZR22" s="9"/>
      <c r="FZX22" s="9"/>
      <c r="GAB22" s="7"/>
      <c r="GAC22" s="7"/>
      <c r="GAD22" s="7"/>
      <c r="GAE22" s="9"/>
      <c r="GAF22" s="9"/>
      <c r="GAL22" s="9"/>
      <c r="GAP22" s="7"/>
      <c r="GAQ22" s="7"/>
      <c r="GAR22" s="7"/>
      <c r="GAS22" s="9"/>
      <c r="GAT22" s="9"/>
      <c r="GAZ22" s="9"/>
      <c r="GBD22" s="7"/>
      <c r="GBE22" s="7"/>
      <c r="GBF22" s="7"/>
      <c r="GBG22" s="9"/>
      <c r="GBH22" s="9"/>
      <c r="GBN22" s="9"/>
      <c r="GBR22" s="7"/>
      <c r="GBS22" s="7"/>
      <c r="GBT22" s="7"/>
      <c r="GBU22" s="9"/>
      <c r="GBV22" s="9"/>
      <c r="GCB22" s="9"/>
      <c r="GCF22" s="7"/>
      <c r="GCG22" s="7"/>
      <c r="GCH22" s="7"/>
      <c r="GCI22" s="9"/>
      <c r="GCJ22" s="9"/>
      <c r="GCP22" s="9"/>
      <c r="GCT22" s="7"/>
      <c r="GCU22" s="7"/>
      <c r="GCV22" s="7"/>
      <c r="GCW22" s="9"/>
      <c r="GCX22" s="9"/>
      <c r="GDD22" s="9"/>
      <c r="GDH22" s="7"/>
      <c r="GDI22" s="7"/>
      <c r="GDJ22" s="7"/>
      <c r="GDK22" s="9"/>
      <c r="GDL22" s="9"/>
      <c r="GDR22" s="9"/>
      <c r="GDV22" s="7"/>
      <c r="GDW22" s="7"/>
      <c r="GDX22" s="7"/>
      <c r="GDY22" s="9"/>
      <c r="GDZ22" s="9"/>
      <c r="GEF22" s="9"/>
      <c r="GEJ22" s="7"/>
      <c r="GEK22" s="7"/>
      <c r="GEL22" s="7"/>
      <c r="GEM22" s="9"/>
      <c r="GEN22" s="9"/>
      <c r="GET22" s="9"/>
      <c r="GEX22" s="7"/>
      <c r="GEY22" s="7"/>
      <c r="GEZ22" s="7"/>
      <c r="GFA22" s="9"/>
      <c r="GFB22" s="9"/>
      <c r="GFH22" s="9"/>
      <c r="GFL22" s="7"/>
      <c r="GFM22" s="7"/>
      <c r="GFN22" s="7"/>
      <c r="GFO22" s="9"/>
      <c r="GFP22" s="9"/>
      <c r="GFV22" s="9"/>
      <c r="GFZ22" s="7"/>
      <c r="GGA22" s="7"/>
      <c r="GGB22" s="7"/>
      <c r="GGC22" s="9"/>
      <c r="GGD22" s="9"/>
      <c r="GGJ22" s="9"/>
      <c r="GGN22" s="7"/>
      <c r="GGO22" s="7"/>
      <c r="GGP22" s="7"/>
      <c r="GGQ22" s="9"/>
      <c r="GGR22" s="9"/>
      <c r="GGX22" s="9"/>
      <c r="GHB22" s="7"/>
      <c r="GHC22" s="7"/>
      <c r="GHD22" s="7"/>
      <c r="GHE22" s="9"/>
      <c r="GHF22" s="9"/>
      <c r="GHL22" s="9"/>
      <c r="GHP22" s="7"/>
      <c r="GHQ22" s="7"/>
      <c r="GHR22" s="7"/>
      <c r="GHS22" s="9"/>
      <c r="GHT22" s="9"/>
      <c r="GHZ22" s="9"/>
      <c r="GID22" s="7"/>
      <c r="GIE22" s="7"/>
      <c r="GIF22" s="7"/>
      <c r="GIG22" s="9"/>
      <c r="GIH22" s="9"/>
      <c r="GIN22" s="9"/>
      <c r="GIR22" s="7"/>
      <c r="GIS22" s="7"/>
      <c r="GIT22" s="7"/>
      <c r="GIU22" s="9"/>
      <c r="GIV22" s="9"/>
      <c r="GJB22" s="9"/>
      <c r="GJF22" s="7"/>
      <c r="GJG22" s="7"/>
      <c r="GJH22" s="7"/>
      <c r="GJI22" s="9"/>
      <c r="GJJ22" s="9"/>
      <c r="GJP22" s="9"/>
      <c r="GJT22" s="7"/>
      <c r="GJU22" s="7"/>
      <c r="GJV22" s="7"/>
      <c r="GJW22" s="9"/>
      <c r="GJX22" s="9"/>
      <c r="GKD22" s="9"/>
      <c r="GKH22" s="7"/>
      <c r="GKI22" s="7"/>
      <c r="GKJ22" s="7"/>
      <c r="GKK22" s="9"/>
      <c r="GKL22" s="9"/>
      <c r="GKR22" s="9"/>
      <c r="GKV22" s="7"/>
      <c r="GKW22" s="7"/>
      <c r="GKX22" s="7"/>
      <c r="GKY22" s="9"/>
      <c r="GKZ22" s="9"/>
      <c r="GLF22" s="9"/>
      <c r="GLJ22" s="7"/>
      <c r="GLK22" s="7"/>
      <c r="GLL22" s="7"/>
      <c r="GLM22" s="9"/>
      <c r="GLN22" s="9"/>
      <c r="GLT22" s="9"/>
      <c r="GLX22" s="7"/>
      <c r="GLY22" s="7"/>
      <c r="GLZ22" s="7"/>
      <c r="GMA22" s="9"/>
      <c r="GMB22" s="9"/>
      <c r="GMH22" s="9"/>
      <c r="GML22" s="7"/>
      <c r="GMM22" s="7"/>
      <c r="GMN22" s="7"/>
      <c r="GMO22" s="9"/>
      <c r="GMP22" s="9"/>
      <c r="GMV22" s="9"/>
      <c r="GMZ22" s="7"/>
      <c r="GNA22" s="7"/>
      <c r="GNB22" s="7"/>
      <c r="GNC22" s="9"/>
      <c r="GND22" s="9"/>
      <c r="GNJ22" s="9"/>
      <c r="GNN22" s="7"/>
      <c r="GNO22" s="7"/>
      <c r="GNP22" s="7"/>
      <c r="GNQ22" s="9"/>
      <c r="GNR22" s="9"/>
      <c r="GNX22" s="9"/>
      <c r="GOB22" s="7"/>
      <c r="GOC22" s="7"/>
      <c r="GOD22" s="7"/>
      <c r="GOE22" s="9"/>
      <c r="GOF22" s="9"/>
      <c r="GOL22" s="9"/>
      <c r="GOP22" s="7"/>
      <c r="GOQ22" s="7"/>
      <c r="GOR22" s="7"/>
      <c r="GOS22" s="9"/>
      <c r="GOT22" s="9"/>
      <c r="GOZ22" s="9"/>
      <c r="GPD22" s="7"/>
      <c r="GPE22" s="7"/>
      <c r="GPF22" s="7"/>
      <c r="GPG22" s="9"/>
      <c r="GPH22" s="9"/>
      <c r="GPN22" s="9"/>
      <c r="GPR22" s="7"/>
      <c r="GPS22" s="7"/>
      <c r="GPT22" s="7"/>
      <c r="GPU22" s="9"/>
      <c r="GPV22" s="9"/>
      <c r="GQB22" s="9"/>
      <c r="GQF22" s="7"/>
      <c r="GQG22" s="7"/>
      <c r="GQH22" s="7"/>
      <c r="GQI22" s="9"/>
      <c r="GQJ22" s="9"/>
      <c r="GQP22" s="9"/>
      <c r="GQT22" s="7"/>
      <c r="GQU22" s="7"/>
      <c r="GQV22" s="7"/>
      <c r="GQW22" s="9"/>
      <c r="GQX22" s="9"/>
      <c r="GRD22" s="9"/>
      <c r="GRH22" s="7"/>
      <c r="GRI22" s="7"/>
      <c r="GRJ22" s="7"/>
      <c r="GRK22" s="9"/>
      <c r="GRL22" s="9"/>
      <c r="GRR22" s="9"/>
      <c r="GRV22" s="7"/>
      <c r="GRW22" s="7"/>
      <c r="GRX22" s="7"/>
      <c r="GRY22" s="9"/>
      <c r="GRZ22" s="9"/>
      <c r="GSF22" s="9"/>
      <c r="GSJ22" s="7"/>
      <c r="GSK22" s="7"/>
      <c r="GSL22" s="7"/>
      <c r="GSM22" s="9"/>
      <c r="GSN22" s="9"/>
      <c r="GST22" s="9"/>
      <c r="GSX22" s="7"/>
      <c r="GSY22" s="7"/>
      <c r="GSZ22" s="7"/>
      <c r="GTA22" s="9"/>
      <c r="GTB22" s="9"/>
      <c r="GTH22" s="9"/>
      <c r="GTL22" s="7"/>
      <c r="GTM22" s="7"/>
      <c r="GTN22" s="7"/>
      <c r="GTO22" s="9"/>
      <c r="GTP22" s="9"/>
      <c r="GTV22" s="9"/>
      <c r="GTZ22" s="7"/>
      <c r="GUA22" s="7"/>
      <c r="GUB22" s="7"/>
      <c r="GUC22" s="9"/>
      <c r="GUD22" s="9"/>
      <c r="GUJ22" s="9"/>
      <c r="GUN22" s="7"/>
      <c r="GUO22" s="7"/>
      <c r="GUP22" s="7"/>
      <c r="GUQ22" s="9"/>
      <c r="GUR22" s="9"/>
      <c r="GUX22" s="9"/>
      <c r="GVB22" s="7"/>
      <c r="GVC22" s="7"/>
      <c r="GVD22" s="7"/>
      <c r="GVE22" s="9"/>
      <c r="GVF22" s="9"/>
      <c r="GVL22" s="9"/>
      <c r="GVP22" s="7"/>
      <c r="GVQ22" s="7"/>
      <c r="GVR22" s="7"/>
      <c r="GVS22" s="9"/>
      <c r="GVT22" s="9"/>
      <c r="GVZ22" s="9"/>
      <c r="GWD22" s="7"/>
      <c r="GWE22" s="7"/>
      <c r="GWF22" s="7"/>
      <c r="GWG22" s="9"/>
      <c r="GWH22" s="9"/>
      <c r="GWN22" s="9"/>
      <c r="GWR22" s="7"/>
      <c r="GWS22" s="7"/>
      <c r="GWT22" s="7"/>
      <c r="GWU22" s="9"/>
      <c r="GWV22" s="9"/>
      <c r="GXB22" s="9"/>
      <c r="GXF22" s="7"/>
      <c r="GXG22" s="7"/>
      <c r="GXH22" s="7"/>
      <c r="GXI22" s="9"/>
      <c r="GXJ22" s="9"/>
      <c r="GXP22" s="9"/>
      <c r="GXT22" s="7"/>
      <c r="GXU22" s="7"/>
      <c r="GXV22" s="7"/>
      <c r="GXW22" s="9"/>
      <c r="GXX22" s="9"/>
      <c r="GYD22" s="9"/>
      <c r="GYH22" s="7"/>
      <c r="GYI22" s="7"/>
      <c r="GYJ22" s="7"/>
      <c r="GYK22" s="9"/>
      <c r="GYL22" s="9"/>
      <c r="GYR22" s="9"/>
      <c r="GYV22" s="7"/>
      <c r="GYW22" s="7"/>
      <c r="GYX22" s="7"/>
      <c r="GYY22" s="9"/>
      <c r="GYZ22" s="9"/>
      <c r="GZF22" s="9"/>
      <c r="GZJ22" s="7"/>
      <c r="GZK22" s="7"/>
      <c r="GZL22" s="7"/>
      <c r="GZM22" s="9"/>
      <c r="GZN22" s="9"/>
      <c r="GZT22" s="9"/>
      <c r="GZX22" s="7"/>
      <c r="GZY22" s="7"/>
      <c r="GZZ22" s="7"/>
      <c r="HAA22" s="9"/>
      <c r="HAB22" s="9"/>
      <c r="HAH22" s="9"/>
      <c r="HAL22" s="7"/>
      <c r="HAM22" s="7"/>
      <c r="HAN22" s="7"/>
      <c r="HAO22" s="9"/>
      <c r="HAP22" s="9"/>
      <c r="HAV22" s="9"/>
      <c r="HAZ22" s="7"/>
      <c r="HBA22" s="7"/>
      <c r="HBB22" s="7"/>
      <c r="HBC22" s="9"/>
      <c r="HBD22" s="9"/>
      <c r="HBJ22" s="9"/>
      <c r="HBN22" s="7"/>
      <c r="HBO22" s="7"/>
      <c r="HBP22" s="7"/>
      <c r="HBQ22" s="9"/>
      <c r="HBR22" s="9"/>
      <c r="HBX22" s="9"/>
      <c r="HCB22" s="7"/>
      <c r="HCC22" s="7"/>
      <c r="HCD22" s="7"/>
      <c r="HCE22" s="9"/>
      <c r="HCF22" s="9"/>
      <c r="HCL22" s="9"/>
      <c r="HCP22" s="7"/>
      <c r="HCQ22" s="7"/>
      <c r="HCR22" s="7"/>
      <c r="HCS22" s="9"/>
      <c r="HCT22" s="9"/>
      <c r="HCZ22" s="9"/>
      <c r="HDD22" s="7"/>
      <c r="HDE22" s="7"/>
      <c r="HDF22" s="7"/>
      <c r="HDG22" s="9"/>
      <c r="HDH22" s="9"/>
      <c r="HDN22" s="9"/>
      <c r="HDR22" s="7"/>
      <c r="HDS22" s="7"/>
      <c r="HDT22" s="7"/>
      <c r="HDU22" s="9"/>
      <c r="HDV22" s="9"/>
      <c r="HEB22" s="9"/>
      <c r="HEF22" s="7"/>
      <c r="HEG22" s="7"/>
      <c r="HEH22" s="7"/>
      <c r="HEI22" s="9"/>
      <c r="HEJ22" s="9"/>
      <c r="HEP22" s="9"/>
      <c r="HET22" s="7"/>
      <c r="HEU22" s="7"/>
      <c r="HEV22" s="7"/>
      <c r="HEW22" s="9"/>
      <c r="HEX22" s="9"/>
      <c r="HFD22" s="9"/>
      <c r="HFH22" s="7"/>
      <c r="HFI22" s="7"/>
      <c r="HFJ22" s="7"/>
      <c r="HFK22" s="9"/>
      <c r="HFL22" s="9"/>
      <c r="HFR22" s="9"/>
      <c r="HFV22" s="7"/>
      <c r="HFW22" s="7"/>
      <c r="HFX22" s="7"/>
      <c r="HFY22" s="9"/>
      <c r="HFZ22" s="9"/>
      <c r="HGF22" s="9"/>
      <c r="HGJ22" s="7"/>
      <c r="HGK22" s="7"/>
      <c r="HGL22" s="7"/>
      <c r="HGM22" s="9"/>
      <c r="HGN22" s="9"/>
      <c r="HGT22" s="9"/>
      <c r="HGX22" s="7"/>
      <c r="HGY22" s="7"/>
      <c r="HGZ22" s="7"/>
      <c r="HHA22" s="9"/>
      <c r="HHB22" s="9"/>
      <c r="HHH22" s="9"/>
      <c r="HHL22" s="7"/>
      <c r="HHM22" s="7"/>
      <c r="HHN22" s="7"/>
      <c r="HHO22" s="9"/>
      <c r="HHP22" s="9"/>
      <c r="HHV22" s="9"/>
      <c r="HHZ22" s="7"/>
      <c r="HIA22" s="7"/>
      <c r="HIB22" s="7"/>
      <c r="HIC22" s="9"/>
      <c r="HID22" s="9"/>
      <c r="HIJ22" s="9"/>
      <c r="HIN22" s="7"/>
      <c r="HIO22" s="7"/>
      <c r="HIP22" s="7"/>
      <c r="HIQ22" s="9"/>
      <c r="HIR22" s="9"/>
      <c r="HIX22" s="9"/>
      <c r="HJB22" s="7"/>
      <c r="HJC22" s="7"/>
      <c r="HJD22" s="7"/>
      <c r="HJE22" s="9"/>
      <c r="HJF22" s="9"/>
      <c r="HJL22" s="9"/>
      <c r="HJP22" s="7"/>
      <c r="HJQ22" s="7"/>
      <c r="HJR22" s="7"/>
      <c r="HJS22" s="9"/>
      <c r="HJT22" s="9"/>
      <c r="HJZ22" s="9"/>
      <c r="HKD22" s="7"/>
      <c r="HKE22" s="7"/>
      <c r="HKF22" s="7"/>
      <c r="HKG22" s="9"/>
      <c r="HKH22" s="9"/>
      <c r="HKN22" s="9"/>
      <c r="HKR22" s="7"/>
      <c r="HKS22" s="7"/>
      <c r="HKT22" s="7"/>
      <c r="HKU22" s="9"/>
      <c r="HKV22" s="9"/>
      <c r="HLB22" s="9"/>
      <c r="HLF22" s="7"/>
      <c r="HLG22" s="7"/>
      <c r="HLH22" s="7"/>
      <c r="HLI22" s="9"/>
      <c r="HLJ22" s="9"/>
      <c r="HLP22" s="9"/>
      <c r="HLT22" s="7"/>
      <c r="HLU22" s="7"/>
      <c r="HLV22" s="7"/>
      <c r="HLW22" s="9"/>
      <c r="HLX22" s="9"/>
      <c r="HMD22" s="9"/>
      <c r="HMH22" s="7"/>
      <c r="HMI22" s="7"/>
      <c r="HMJ22" s="7"/>
      <c r="HMK22" s="9"/>
      <c r="HML22" s="9"/>
      <c r="HMR22" s="9"/>
      <c r="HMV22" s="7"/>
      <c r="HMW22" s="7"/>
      <c r="HMX22" s="7"/>
      <c r="HMY22" s="9"/>
      <c r="HMZ22" s="9"/>
      <c r="HNF22" s="9"/>
      <c r="HNJ22" s="7"/>
      <c r="HNK22" s="7"/>
      <c r="HNL22" s="7"/>
      <c r="HNM22" s="9"/>
      <c r="HNN22" s="9"/>
      <c r="HNT22" s="9"/>
      <c r="HNX22" s="7"/>
      <c r="HNY22" s="7"/>
      <c r="HNZ22" s="7"/>
      <c r="HOA22" s="9"/>
      <c r="HOB22" s="9"/>
      <c r="HOH22" s="9"/>
      <c r="HOL22" s="7"/>
      <c r="HOM22" s="7"/>
      <c r="HON22" s="7"/>
      <c r="HOO22" s="9"/>
      <c r="HOP22" s="9"/>
      <c r="HOV22" s="9"/>
      <c r="HOZ22" s="7"/>
      <c r="HPA22" s="7"/>
      <c r="HPB22" s="7"/>
      <c r="HPC22" s="9"/>
      <c r="HPD22" s="9"/>
      <c r="HPJ22" s="9"/>
      <c r="HPN22" s="7"/>
      <c r="HPO22" s="7"/>
      <c r="HPP22" s="7"/>
      <c r="HPQ22" s="9"/>
      <c r="HPR22" s="9"/>
      <c r="HPX22" s="9"/>
      <c r="HQB22" s="7"/>
      <c r="HQC22" s="7"/>
      <c r="HQD22" s="7"/>
      <c r="HQE22" s="9"/>
      <c r="HQF22" s="9"/>
      <c r="HQL22" s="9"/>
      <c r="HQP22" s="7"/>
      <c r="HQQ22" s="7"/>
      <c r="HQR22" s="7"/>
      <c r="HQS22" s="9"/>
      <c r="HQT22" s="9"/>
      <c r="HQZ22" s="9"/>
      <c r="HRD22" s="7"/>
      <c r="HRE22" s="7"/>
      <c r="HRF22" s="7"/>
      <c r="HRG22" s="9"/>
      <c r="HRH22" s="9"/>
      <c r="HRN22" s="9"/>
      <c r="HRR22" s="7"/>
      <c r="HRS22" s="7"/>
      <c r="HRT22" s="7"/>
      <c r="HRU22" s="9"/>
      <c r="HRV22" s="9"/>
      <c r="HSB22" s="9"/>
      <c r="HSF22" s="7"/>
      <c r="HSG22" s="7"/>
      <c r="HSH22" s="7"/>
      <c r="HSI22" s="9"/>
      <c r="HSJ22" s="9"/>
      <c r="HSP22" s="9"/>
      <c r="HST22" s="7"/>
      <c r="HSU22" s="7"/>
      <c r="HSV22" s="7"/>
      <c r="HSW22" s="9"/>
      <c r="HSX22" s="9"/>
      <c r="HTD22" s="9"/>
      <c r="HTH22" s="7"/>
      <c r="HTI22" s="7"/>
      <c r="HTJ22" s="7"/>
      <c r="HTK22" s="9"/>
      <c r="HTL22" s="9"/>
      <c r="HTR22" s="9"/>
      <c r="HTV22" s="7"/>
      <c r="HTW22" s="7"/>
      <c r="HTX22" s="7"/>
      <c r="HTY22" s="9"/>
      <c r="HTZ22" s="9"/>
      <c r="HUF22" s="9"/>
      <c r="HUJ22" s="7"/>
      <c r="HUK22" s="7"/>
      <c r="HUL22" s="7"/>
      <c r="HUM22" s="9"/>
      <c r="HUN22" s="9"/>
      <c r="HUT22" s="9"/>
      <c r="HUX22" s="7"/>
      <c r="HUY22" s="7"/>
      <c r="HUZ22" s="7"/>
      <c r="HVA22" s="9"/>
      <c r="HVB22" s="9"/>
      <c r="HVH22" s="9"/>
      <c r="HVL22" s="7"/>
      <c r="HVM22" s="7"/>
      <c r="HVN22" s="7"/>
      <c r="HVO22" s="9"/>
      <c r="HVP22" s="9"/>
      <c r="HVV22" s="9"/>
      <c r="HVZ22" s="7"/>
      <c r="HWA22" s="7"/>
      <c r="HWB22" s="7"/>
      <c r="HWC22" s="9"/>
      <c r="HWD22" s="9"/>
      <c r="HWJ22" s="9"/>
      <c r="HWN22" s="7"/>
      <c r="HWO22" s="7"/>
      <c r="HWP22" s="7"/>
      <c r="HWQ22" s="9"/>
      <c r="HWR22" s="9"/>
      <c r="HWX22" s="9"/>
      <c r="HXB22" s="7"/>
      <c r="HXC22" s="7"/>
      <c r="HXD22" s="7"/>
      <c r="HXE22" s="9"/>
      <c r="HXF22" s="9"/>
      <c r="HXL22" s="9"/>
      <c r="HXP22" s="7"/>
      <c r="HXQ22" s="7"/>
      <c r="HXR22" s="7"/>
      <c r="HXS22" s="9"/>
      <c r="HXT22" s="9"/>
      <c r="HXZ22" s="9"/>
      <c r="HYD22" s="7"/>
      <c r="HYE22" s="7"/>
      <c r="HYF22" s="7"/>
      <c r="HYG22" s="9"/>
      <c r="HYH22" s="9"/>
      <c r="HYN22" s="9"/>
      <c r="HYR22" s="7"/>
      <c r="HYS22" s="7"/>
      <c r="HYT22" s="7"/>
      <c r="HYU22" s="9"/>
      <c r="HYV22" s="9"/>
      <c r="HZB22" s="9"/>
      <c r="HZF22" s="7"/>
      <c r="HZG22" s="7"/>
      <c r="HZH22" s="7"/>
      <c r="HZI22" s="9"/>
      <c r="HZJ22" s="9"/>
      <c r="HZP22" s="9"/>
      <c r="HZT22" s="7"/>
      <c r="HZU22" s="7"/>
      <c r="HZV22" s="7"/>
      <c r="HZW22" s="9"/>
      <c r="HZX22" s="9"/>
      <c r="IAD22" s="9"/>
      <c r="IAH22" s="7"/>
      <c r="IAI22" s="7"/>
      <c r="IAJ22" s="7"/>
      <c r="IAK22" s="9"/>
      <c r="IAL22" s="9"/>
      <c r="IAR22" s="9"/>
      <c r="IAV22" s="7"/>
      <c r="IAW22" s="7"/>
      <c r="IAX22" s="7"/>
      <c r="IAY22" s="9"/>
      <c r="IAZ22" s="9"/>
      <c r="IBF22" s="9"/>
      <c r="IBJ22" s="7"/>
      <c r="IBK22" s="7"/>
      <c r="IBL22" s="7"/>
      <c r="IBM22" s="9"/>
      <c r="IBN22" s="9"/>
      <c r="IBT22" s="9"/>
      <c r="IBX22" s="7"/>
      <c r="IBY22" s="7"/>
      <c r="IBZ22" s="7"/>
      <c r="ICA22" s="9"/>
      <c r="ICB22" s="9"/>
      <c r="ICH22" s="9"/>
      <c r="ICL22" s="7"/>
      <c r="ICM22" s="7"/>
      <c r="ICN22" s="7"/>
      <c r="ICO22" s="9"/>
      <c r="ICP22" s="9"/>
      <c r="ICV22" s="9"/>
      <c r="ICZ22" s="7"/>
      <c r="IDA22" s="7"/>
      <c r="IDB22" s="7"/>
      <c r="IDC22" s="9"/>
      <c r="IDD22" s="9"/>
      <c r="IDJ22" s="9"/>
      <c r="IDN22" s="7"/>
      <c r="IDO22" s="7"/>
      <c r="IDP22" s="7"/>
      <c r="IDQ22" s="9"/>
      <c r="IDR22" s="9"/>
      <c r="IDX22" s="9"/>
      <c r="IEB22" s="7"/>
      <c r="IEC22" s="7"/>
      <c r="IED22" s="7"/>
      <c r="IEE22" s="9"/>
      <c r="IEF22" s="9"/>
      <c r="IEL22" s="9"/>
      <c r="IEP22" s="7"/>
      <c r="IEQ22" s="7"/>
      <c r="IER22" s="7"/>
      <c r="IES22" s="9"/>
      <c r="IET22" s="9"/>
      <c r="IEZ22" s="9"/>
      <c r="IFD22" s="7"/>
      <c r="IFE22" s="7"/>
      <c r="IFF22" s="7"/>
      <c r="IFG22" s="9"/>
      <c r="IFH22" s="9"/>
      <c r="IFN22" s="9"/>
      <c r="IFR22" s="7"/>
      <c r="IFS22" s="7"/>
      <c r="IFT22" s="7"/>
      <c r="IFU22" s="9"/>
      <c r="IFV22" s="9"/>
      <c r="IGB22" s="9"/>
      <c r="IGF22" s="7"/>
      <c r="IGG22" s="7"/>
      <c r="IGH22" s="7"/>
      <c r="IGI22" s="9"/>
      <c r="IGJ22" s="9"/>
      <c r="IGP22" s="9"/>
      <c r="IGT22" s="7"/>
      <c r="IGU22" s="7"/>
      <c r="IGV22" s="7"/>
      <c r="IGW22" s="9"/>
      <c r="IGX22" s="9"/>
      <c r="IHD22" s="9"/>
      <c r="IHH22" s="7"/>
      <c r="IHI22" s="7"/>
      <c r="IHJ22" s="7"/>
      <c r="IHK22" s="9"/>
      <c r="IHL22" s="9"/>
      <c r="IHR22" s="9"/>
      <c r="IHV22" s="7"/>
      <c r="IHW22" s="7"/>
      <c r="IHX22" s="7"/>
      <c r="IHY22" s="9"/>
      <c r="IHZ22" s="9"/>
      <c r="IIF22" s="9"/>
      <c r="IIJ22" s="7"/>
      <c r="IIK22" s="7"/>
      <c r="IIL22" s="7"/>
      <c r="IIM22" s="9"/>
      <c r="IIN22" s="9"/>
      <c r="IIT22" s="9"/>
      <c r="IIX22" s="7"/>
      <c r="IIY22" s="7"/>
      <c r="IIZ22" s="7"/>
      <c r="IJA22" s="9"/>
      <c r="IJB22" s="9"/>
      <c r="IJH22" s="9"/>
      <c r="IJL22" s="7"/>
      <c r="IJM22" s="7"/>
      <c r="IJN22" s="7"/>
      <c r="IJO22" s="9"/>
      <c r="IJP22" s="9"/>
      <c r="IJV22" s="9"/>
      <c r="IJZ22" s="7"/>
      <c r="IKA22" s="7"/>
      <c r="IKB22" s="7"/>
      <c r="IKC22" s="9"/>
      <c r="IKD22" s="9"/>
      <c r="IKJ22" s="9"/>
      <c r="IKN22" s="7"/>
      <c r="IKO22" s="7"/>
      <c r="IKP22" s="7"/>
      <c r="IKQ22" s="9"/>
      <c r="IKR22" s="9"/>
      <c r="IKX22" s="9"/>
      <c r="ILB22" s="7"/>
      <c r="ILC22" s="7"/>
      <c r="ILD22" s="7"/>
      <c r="ILE22" s="9"/>
      <c r="ILF22" s="9"/>
      <c r="ILL22" s="9"/>
      <c r="ILP22" s="7"/>
      <c r="ILQ22" s="7"/>
      <c r="ILR22" s="7"/>
      <c r="ILS22" s="9"/>
      <c r="ILT22" s="9"/>
      <c r="ILZ22" s="9"/>
      <c r="IMD22" s="7"/>
      <c r="IME22" s="7"/>
      <c r="IMF22" s="7"/>
      <c r="IMG22" s="9"/>
      <c r="IMH22" s="9"/>
      <c r="IMN22" s="9"/>
      <c r="IMR22" s="7"/>
      <c r="IMS22" s="7"/>
      <c r="IMT22" s="7"/>
      <c r="IMU22" s="9"/>
      <c r="IMV22" s="9"/>
      <c r="INB22" s="9"/>
      <c r="INF22" s="7"/>
      <c r="ING22" s="7"/>
      <c r="INH22" s="7"/>
      <c r="INI22" s="9"/>
      <c r="INJ22" s="9"/>
      <c r="INP22" s="9"/>
      <c r="INT22" s="7"/>
      <c r="INU22" s="7"/>
      <c r="INV22" s="7"/>
      <c r="INW22" s="9"/>
      <c r="INX22" s="9"/>
      <c r="IOD22" s="9"/>
      <c r="IOH22" s="7"/>
      <c r="IOI22" s="7"/>
      <c r="IOJ22" s="7"/>
      <c r="IOK22" s="9"/>
      <c r="IOL22" s="9"/>
      <c r="IOR22" s="9"/>
      <c r="IOV22" s="7"/>
      <c r="IOW22" s="7"/>
      <c r="IOX22" s="7"/>
      <c r="IOY22" s="9"/>
      <c r="IOZ22" s="9"/>
      <c r="IPF22" s="9"/>
      <c r="IPJ22" s="7"/>
      <c r="IPK22" s="7"/>
      <c r="IPL22" s="7"/>
      <c r="IPM22" s="9"/>
      <c r="IPN22" s="9"/>
      <c r="IPT22" s="9"/>
      <c r="IPX22" s="7"/>
      <c r="IPY22" s="7"/>
      <c r="IPZ22" s="7"/>
      <c r="IQA22" s="9"/>
      <c r="IQB22" s="9"/>
      <c r="IQH22" s="9"/>
      <c r="IQL22" s="7"/>
      <c r="IQM22" s="7"/>
      <c r="IQN22" s="7"/>
      <c r="IQO22" s="9"/>
      <c r="IQP22" s="9"/>
      <c r="IQV22" s="9"/>
      <c r="IQZ22" s="7"/>
      <c r="IRA22" s="7"/>
      <c r="IRB22" s="7"/>
      <c r="IRC22" s="9"/>
      <c r="IRD22" s="9"/>
      <c r="IRJ22" s="9"/>
      <c r="IRN22" s="7"/>
      <c r="IRO22" s="7"/>
      <c r="IRP22" s="7"/>
      <c r="IRQ22" s="9"/>
      <c r="IRR22" s="9"/>
      <c r="IRX22" s="9"/>
      <c r="ISB22" s="7"/>
      <c r="ISC22" s="7"/>
      <c r="ISD22" s="7"/>
      <c r="ISE22" s="9"/>
      <c r="ISF22" s="9"/>
      <c r="ISL22" s="9"/>
      <c r="ISP22" s="7"/>
      <c r="ISQ22" s="7"/>
      <c r="ISR22" s="7"/>
      <c r="ISS22" s="9"/>
      <c r="IST22" s="9"/>
      <c r="ISZ22" s="9"/>
      <c r="ITD22" s="7"/>
      <c r="ITE22" s="7"/>
      <c r="ITF22" s="7"/>
      <c r="ITG22" s="9"/>
      <c r="ITH22" s="9"/>
      <c r="ITN22" s="9"/>
      <c r="ITR22" s="7"/>
      <c r="ITS22" s="7"/>
      <c r="ITT22" s="7"/>
      <c r="ITU22" s="9"/>
      <c r="ITV22" s="9"/>
      <c r="IUB22" s="9"/>
      <c r="IUF22" s="7"/>
      <c r="IUG22" s="7"/>
      <c r="IUH22" s="7"/>
      <c r="IUI22" s="9"/>
      <c r="IUJ22" s="9"/>
      <c r="IUP22" s="9"/>
      <c r="IUT22" s="7"/>
      <c r="IUU22" s="7"/>
      <c r="IUV22" s="7"/>
      <c r="IUW22" s="9"/>
      <c r="IUX22" s="9"/>
      <c r="IVD22" s="9"/>
      <c r="IVH22" s="7"/>
      <c r="IVI22" s="7"/>
      <c r="IVJ22" s="7"/>
      <c r="IVK22" s="9"/>
      <c r="IVL22" s="9"/>
      <c r="IVR22" s="9"/>
      <c r="IVV22" s="7"/>
      <c r="IVW22" s="7"/>
      <c r="IVX22" s="7"/>
      <c r="IVY22" s="9"/>
      <c r="IVZ22" s="9"/>
      <c r="IWF22" s="9"/>
      <c r="IWJ22" s="7"/>
      <c r="IWK22" s="7"/>
      <c r="IWL22" s="7"/>
      <c r="IWM22" s="9"/>
      <c r="IWN22" s="9"/>
      <c r="IWT22" s="9"/>
      <c r="IWX22" s="7"/>
      <c r="IWY22" s="7"/>
      <c r="IWZ22" s="7"/>
      <c r="IXA22" s="9"/>
      <c r="IXB22" s="9"/>
      <c r="IXH22" s="9"/>
      <c r="IXL22" s="7"/>
      <c r="IXM22" s="7"/>
      <c r="IXN22" s="7"/>
      <c r="IXO22" s="9"/>
      <c r="IXP22" s="9"/>
      <c r="IXV22" s="9"/>
      <c r="IXZ22" s="7"/>
      <c r="IYA22" s="7"/>
      <c r="IYB22" s="7"/>
      <c r="IYC22" s="9"/>
      <c r="IYD22" s="9"/>
      <c r="IYJ22" s="9"/>
      <c r="IYN22" s="7"/>
      <c r="IYO22" s="7"/>
      <c r="IYP22" s="7"/>
      <c r="IYQ22" s="9"/>
      <c r="IYR22" s="9"/>
      <c r="IYX22" s="9"/>
      <c r="IZB22" s="7"/>
      <c r="IZC22" s="7"/>
      <c r="IZD22" s="7"/>
      <c r="IZE22" s="9"/>
      <c r="IZF22" s="9"/>
      <c r="IZL22" s="9"/>
      <c r="IZP22" s="7"/>
      <c r="IZQ22" s="7"/>
      <c r="IZR22" s="7"/>
      <c r="IZS22" s="9"/>
      <c r="IZT22" s="9"/>
      <c r="IZZ22" s="9"/>
      <c r="JAD22" s="7"/>
      <c r="JAE22" s="7"/>
      <c r="JAF22" s="7"/>
      <c r="JAG22" s="9"/>
      <c r="JAH22" s="9"/>
      <c r="JAN22" s="9"/>
      <c r="JAR22" s="7"/>
      <c r="JAS22" s="7"/>
      <c r="JAT22" s="7"/>
      <c r="JAU22" s="9"/>
      <c r="JAV22" s="9"/>
      <c r="JBB22" s="9"/>
      <c r="JBF22" s="7"/>
      <c r="JBG22" s="7"/>
      <c r="JBH22" s="7"/>
      <c r="JBI22" s="9"/>
      <c r="JBJ22" s="9"/>
      <c r="JBP22" s="9"/>
      <c r="JBT22" s="7"/>
      <c r="JBU22" s="7"/>
      <c r="JBV22" s="7"/>
      <c r="JBW22" s="9"/>
      <c r="JBX22" s="9"/>
      <c r="JCD22" s="9"/>
      <c r="JCH22" s="7"/>
      <c r="JCI22" s="7"/>
      <c r="JCJ22" s="7"/>
      <c r="JCK22" s="9"/>
      <c r="JCL22" s="9"/>
      <c r="JCR22" s="9"/>
      <c r="JCV22" s="7"/>
      <c r="JCW22" s="7"/>
      <c r="JCX22" s="7"/>
      <c r="JCY22" s="9"/>
      <c r="JCZ22" s="9"/>
      <c r="JDF22" s="9"/>
      <c r="JDJ22" s="7"/>
      <c r="JDK22" s="7"/>
      <c r="JDL22" s="7"/>
      <c r="JDM22" s="9"/>
      <c r="JDN22" s="9"/>
      <c r="JDT22" s="9"/>
      <c r="JDX22" s="7"/>
      <c r="JDY22" s="7"/>
      <c r="JDZ22" s="7"/>
      <c r="JEA22" s="9"/>
      <c r="JEB22" s="9"/>
      <c r="JEH22" s="9"/>
      <c r="JEL22" s="7"/>
      <c r="JEM22" s="7"/>
      <c r="JEN22" s="7"/>
      <c r="JEO22" s="9"/>
      <c r="JEP22" s="9"/>
      <c r="JEV22" s="9"/>
      <c r="JEZ22" s="7"/>
      <c r="JFA22" s="7"/>
      <c r="JFB22" s="7"/>
      <c r="JFC22" s="9"/>
      <c r="JFD22" s="9"/>
      <c r="JFJ22" s="9"/>
      <c r="JFN22" s="7"/>
      <c r="JFO22" s="7"/>
      <c r="JFP22" s="7"/>
      <c r="JFQ22" s="9"/>
      <c r="JFR22" s="9"/>
      <c r="JFX22" s="9"/>
      <c r="JGB22" s="7"/>
      <c r="JGC22" s="7"/>
      <c r="JGD22" s="7"/>
      <c r="JGE22" s="9"/>
      <c r="JGF22" s="9"/>
      <c r="JGL22" s="9"/>
      <c r="JGP22" s="7"/>
      <c r="JGQ22" s="7"/>
      <c r="JGR22" s="7"/>
      <c r="JGS22" s="9"/>
      <c r="JGT22" s="9"/>
      <c r="JGZ22" s="9"/>
      <c r="JHD22" s="7"/>
      <c r="JHE22" s="7"/>
      <c r="JHF22" s="7"/>
      <c r="JHG22" s="9"/>
      <c r="JHH22" s="9"/>
      <c r="JHN22" s="9"/>
      <c r="JHR22" s="7"/>
      <c r="JHS22" s="7"/>
      <c r="JHT22" s="7"/>
      <c r="JHU22" s="9"/>
      <c r="JHV22" s="9"/>
      <c r="JIB22" s="9"/>
      <c r="JIF22" s="7"/>
      <c r="JIG22" s="7"/>
      <c r="JIH22" s="7"/>
      <c r="JII22" s="9"/>
      <c r="JIJ22" s="9"/>
      <c r="JIP22" s="9"/>
      <c r="JIT22" s="7"/>
      <c r="JIU22" s="7"/>
      <c r="JIV22" s="7"/>
      <c r="JIW22" s="9"/>
      <c r="JIX22" s="9"/>
      <c r="JJD22" s="9"/>
      <c r="JJH22" s="7"/>
      <c r="JJI22" s="7"/>
      <c r="JJJ22" s="7"/>
      <c r="JJK22" s="9"/>
      <c r="JJL22" s="9"/>
      <c r="JJR22" s="9"/>
      <c r="JJV22" s="7"/>
      <c r="JJW22" s="7"/>
      <c r="JJX22" s="7"/>
      <c r="JJY22" s="9"/>
      <c r="JJZ22" s="9"/>
      <c r="JKF22" s="9"/>
      <c r="JKJ22" s="7"/>
      <c r="JKK22" s="7"/>
      <c r="JKL22" s="7"/>
      <c r="JKM22" s="9"/>
      <c r="JKN22" s="9"/>
      <c r="JKT22" s="9"/>
      <c r="JKX22" s="7"/>
      <c r="JKY22" s="7"/>
      <c r="JKZ22" s="7"/>
      <c r="JLA22" s="9"/>
      <c r="JLB22" s="9"/>
      <c r="JLH22" s="9"/>
      <c r="JLL22" s="7"/>
      <c r="JLM22" s="7"/>
      <c r="JLN22" s="7"/>
      <c r="JLO22" s="9"/>
      <c r="JLP22" s="9"/>
      <c r="JLV22" s="9"/>
      <c r="JLZ22" s="7"/>
      <c r="JMA22" s="7"/>
      <c r="JMB22" s="7"/>
      <c r="JMC22" s="9"/>
      <c r="JMD22" s="9"/>
      <c r="JMJ22" s="9"/>
      <c r="JMN22" s="7"/>
      <c r="JMO22" s="7"/>
      <c r="JMP22" s="7"/>
      <c r="JMQ22" s="9"/>
      <c r="JMR22" s="9"/>
      <c r="JMX22" s="9"/>
      <c r="JNB22" s="7"/>
      <c r="JNC22" s="7"/>
      <c r="JND22" s="7"/>
      <c r="JNE22" s="9"/>
      <c r="JNF22" s="9"/>
      <c r="JNL22" s="9"/>
      <c r="JNP22" s="7"/>
      <c r="JNQ22" s="7"/>
      <c r="JNR22" s="7"/>
      <c r="JNS22" s="9"/>
      <c r="JNT22" s="9"/>
      <c r="JNZ22" s="9"/>
      <c r="JOD22" s="7"/>
      <c r="JOE22" s="7"/>
      <c r="JOF22" s="7"/>
      <c r="JOG22" s="9"/>
      <c r="JOH22" s="9"/>
      <c r="JON22" s="9"/>
      <c r="JOR22" s="7"/>
      <c r="JOS22" s="7"/>
      <c r="JOT22" s="7"/>
      <c r="JOU22" s="9"/>
      <c r="JOV22" s="9"/>
      <c r="JPB22" s="9"/>
      <c r="JPF22" s="7"/>
      <c r="JPG22" s="7"/>
      <c r="JPH22" s="7"/>
      <c r="JPI22" s="9"/>
      <c r="JPJ22" s="9"/>
      <c r="JPP22" s="9"/>
      <c r="JPT22" s="7"/>
      <c r="JPU22" s="7"/>
      <c r="JPV22" s="7"/>
      <c r="JPW22" s="9"/>
      <c r="JPX22" s="9"/>
      <c r="JQD22" s="9"/>
      <c r="JQH22" s="7"/>
      <c r="JQI22" s="7"/>
      <c r="JQJ22" s="7"/>
      <c r="JQK22" s="9"/>
      <c r="JQL22" s="9"/>
      <c r="JQR22" s="9"/>
      <c r="JQV22" s="7"/>
      <c r="JQW22" s="7"/>
      <c r="JQX22" s="7"/>
      <c r="JQY22" s="9"/>
      <c r="JQZ22" s="9"/>
      <c r="JRF22" s="9"/>
      <c r="JRJ22" s="7"/>
      <c r="JRK22" s="7"/>
      <c r="JRL22" s="7"/>
      <c r="JRM22" s="9"/>
      <c r="JRN22" s="9"/>
      <c r="JRT22" s="9"/>
      <c r="JRX22" s="7"/>
      <c r="JRY22" s="7"/>
      <c r="JRZ22" s="7"/>
      <c r="JSA22" s="9"/>
      <c r="JSB22" s="9"/>
      <c r="JSH22" s="9"/>
      <c r="JSL22" s="7"/>
      <c r="JSM22" s="7"/>
      <c r="JSN22" s="7"/>
      <c r="JSO22" s="9"/>
      <c r="JSP22" s="9"/>
      <c r="JSV22" s="9"/>
      <c r="JSZ22" s="7"/>
      <c r="JTA22" s="7"/>
      <c r="JTB22" s="7"/>
      <c r="JTC22" s="9"/>
      <c r="JTD22" s="9"/>
      <c r="JTJ22" s="9"/>
      <c r="JTN22" s="7"/>
      <c r="JTO22" s="7"/>
      <c r="JTP22" s="7"/>
      <c r="JTQ22" s="9"/>
      <c r="JTR22" s="9"/>
      <c r="JTX22" s="9"/>
      <c r="JUB22" s="7"/>
      <c r="JUC22" s="7"/>
      <c r="JUD22" s="7"/>
      <c r="JUE22" s="9"/>
      <c r="JUF22" s="9"/>
      <c r="JUL22" s="9"/>
      <c r="JUP22" s="7"/>
      <c r="JUQ22" s="7"/>
      <c r="JUR22" s="7"/>
      <c r="JUS22" s="9"/>
      <c r="JUT22" s="9"/>
      <c r="JUZ22" s="9"/>
      <c r="JVD22" s="7"/>
      <c r="JVE22" s="7"/>
      <c r="JVF22" s="7"/>
      <c r="JVG22" s="9"/>
      <c r="JVH22" s="9"/>
      <c r="JVN22" s="9"/>
      <c r="JVR22" s="7"/>
      <c r="JVS22" s="7"/>
      <c r="JVT22" s="7"/>
      <c r="JVU22" s="9"/>
      <c r="JVV22" s="9"/>
      <c r="JWB22" s="9"/>
      <c r="JWF22" s="7"/>
      <c r="JWG22" s="7"/>
      <c r="JWH22" s="7"/>
      <c r="JWI22" s="9"/>
      <c r="JWJ22" s="9"/>
      <c r="JWP22" s="9"/>
      <c r="JWT22" s="7"/>
      <c r="JWU22" s="7"/>
      <c r="JWV22" s="7"/>
      <c r="JWW22" s="9"/>
      <c r="JWX22" s="9"/>
      <c r="JXD22" s="9"/>
      <c r="JXH22" s="7"/>
      <c r="JXI22" s="7"/>
      <c r="JXJ22" s="7"/>
      <c r="JXK22" s="9"/>
      <c r="JXL22" s="9"/>
      <c r="JXR22" s="9"/>
      <c r="JXV22" s="7"/>
      <c r="JXW22" s="7"/>
      <c r="JXX22" s="7"/>
      <c r="JXY22" s="9"/>
      <c r="JXZ22" s="9"/>
      <c r="JYF22" s="9"/>
      <c r="JYJ22" s="7"/>
      <c r="JYK22" s="7"/>
      <c r="JYL22" s="7"/>
      <c r="JYM22" s="9"/>
      <c r="JYN22" s="9"/>
      <c r="JYT22" s="9"/>
      <c r="JYX22" s="7"/>
      <c r="JYY22" s="7"/>
      <c r="JYZ22" s="7"/>
      <c r="JZA22" s="9"/>
      <c r="JZB22" s="9"/>
      <c r="JZH22" s="9"/>
      <c r="JZL22" s="7"/>
      <c r="JZM22" s="7"/>
      <c r="JZN22" s="7"/>
      <c r="JZO22" s="9"/>
      <c r="JZP22" s="9"/>
      <c r="JZV22" s="9"/>
      <c r="JZZ22" s="7"/>
      <c r="KAA22" s="7"/>
      <c r="KAB22" s="7"/>
      <c r="KAC22" s="9"/>
      <c r="KAD22" s="9"/>
      <c r="KAJ22" s="9"/>
      <c r="KAN22" s="7"/>
      <c r="KAO22" s="7"/>
      <c r="KAP22" s="7"/>
      <c r="KAQ22" s="9"/>
      <c r="KAR22" s="9"/>
      <c r="KAX22" s="9"/>
      <c r="KBB22" s="7"/>
      <c r="KBC22" s="7"/>
      <c r="KBD22" s="7"/>
      <c r="KBE22" s="9"/>
      <c r="KBF22" s="9"/>
      <c r="KBL22" s="9"/>
      <c r="KBP22" s="7"/>
      <c r="KBQ22" s="7"/>
      <c r="KBR22" s="7"/>
      <c r="KBS22" s="9"/>
      <c r="KBT22" s="9"/>
      <c r="KBZ22" s="9"/>
      <c r="KCD22" s="7"/>
      <c r="KCE22" s="7"/>
      <c r="KCF22" s="7"/>
      <c r="KCG22" s="9"/>
      <c r="KCH22" s="9"/>
      <c r="KCN22" s="9"/>
      <c r="KCR22" s="7"/>
      <c r="KCS22" s="7"/>
      <c r="KCT22" s="7"/>
      <c r="KCU22" s="9"/>
      <c r="KCV22" s="9"/>
      <c r="KDB22" s="9"/>
      <c r="KDF22" s="7"/>
      <c r="KDG22" s="7"/>
      <c r="KDH22" s="7"/>
      <c r="KDI22" s="9"/>
      <c r="KDJ22" s="9"/>
      <c r="KDP22" s="9"/>
      <c r="KDT22" s="7"/>
      <c r="KDU22" s="7"/>
      <c r="KDV22" s="7"/>
      <c r="KDW22" s="9"/>
      <c r="KDX22" s="9"/>
      <c r="KED22" s="9"/>
      <c r="KEH22" s="7"/>
      <c r="KEI22" s="7"/>
      <c r="KEJ22" s="7"/>
      <c r="KEK22" s="9"/>
      <c r="KEL22" s="9"/>
      <c r="KER22" s="9"/>
      <c r="KEV22" s="7"/>
      <c r="KEW22" s="7"/>
      <c r="KEX22" s="7"/>
      <c r="KEY22" s="9"/>
      <c r="KEZ22" s="9"/>
      <c r="KFF22" s="9"/>
      <c r="KFJ22" s="7"/>
      <c r="KFK22" s="7"/>
      <c r="KFL22" s="7"/>
      <c r="KFM22" s="9"/>
      <c r="KFN22" s="9"/>
      <c r="KFT22" s="9"/>
      <c r="KFX22" s="7"/>
      <c r="KFY22" s="7"/>
      <c r="KFZ22" s="7"/>
      <c r="KGA22" s="9"/>
      <c r="KGB22" s="9"/>
      <c r="KGH22" s="9"/>
      <c r="KGL22" s="7"/>
      <c r="KGM22" s="7"/>
      <c r="KGN22" s="7"/>
      <c r="KGO22" s="9"/>
      <c r="KGP22" s="9"/>
      <c r="KGV22" s="9"/>
      <c r="KGZ22" s="7"/>
      <c r="KHA22" s="7"/>
      <c r="KHB22" s="7"/>
      <c r="KHC22" s="9"/>
      <c r="KHD22" s="9"/>
      <c r="KHJ22" s="9"/>
      <c r="KHN22" s="7"/>
      <c r="KHO22" s="7"/>
      <c r="KHP22" s="7"/>
      <c r="KHQ22" s="9"/>
      <c r="KHR22" s="9"/>
      <c r="KHX22" s="9"/>
      <c r="KIB22" s="7"/>
      <c r="KIC22" s="7"/>
      <c r="KID22" s="7"/>
      <c r="KIE22" s="9"/>
      <c r="KIF22" s="9"/>
      <c r="KIL22" s="9"/>
      <c r="KIP22" s="7"/>
      <c r="KIQ22" s="7"/>
      <c r="KIR22" s="7"/>
      <c r="KIS22" s="9"/>
      <c r="KIT22" s="9"/>
      <c r="KIZ22" s="9"/>
      <c r="KJD22" s="7"/>
      <c r="KJE22" s="7"/>
      <c r="KJF22" s="7"/>
      <c r="KJG22" s="9"/>
      <c r="KJH22" s="9"/>
      <c r="KJN22" s="9"/>
      <c r="KJR22" s="7"/>
      <c r="KJS22" s="7"/>
      <c r="KJT22" s="7"/>
      <c r="KJU22" s="9"/>
      <c r="KJV22" s="9"/>
      <c r="KKB22" s="9"/>
      <c r="KKF22" s="7"/>
      <c r="KKG22" s="7"/>
      <c r="KKH22" s="7"/>
      <c r="KKI22" s="9"/>
      <c r="KKJ22" s="9"/>
      <c r="KKP22" s="9"/>
      <c r="KKT22" s="7"/>
      <c r="KKU22" s="7"/>
      <c r="KKV22" s="7"/>
      <c r="KKW22" s="9"/>
      <c r="KKX22" s="9"/>
      <c r="KLD22" s="9"/>
      <c r="KLH22" s="7"/>
      <c r="KLI22" s="7"/>
      <c r="KLJ22" s="7"/>
      <c r="KLK22" s="9"/>
      <c r="KLL22" s="9"/>
      <c r="KLR22" s="9"/>
      <c r="KLV22" s="7"/>
      <c r="KLW22" s="7"/>
      <c r="KLX22" s="7"/>
      <c r="KLY22" s="9"/>
      <c r="KLZ22" s="9"/>
      <c r="KMF22" s="9"/>
      <c r="KMJ22" s="7"/>
      <c r="KMK22" s="7"/>
      <c r="KML22" s="7"/>
      <c r="KMM22" s="9"/>
      <c r="KMN22" s="9"/>
      <c r="KMT22" s="9"/>
      <c r="KMX22" s="7"/>
      <c r="KMY22" s="7"/>
      <c r="KMZ22" s="7"/>
      <c r="KNA22" s="9"/>
      <c r="KNB22" s="9"/>
      <c r="KNH22" s="9"/>
      <c r="KNL22" s="7"/>
      <c r="KNM22" s="7"/>
      <c r="KNN22" s="7"/>
      <c r="KNO22" s="9"/>
      <c r="KNP22" s="9"/>
      <c r="KNV22" s="9"/>
      <c r="KNZ22" s="7"/>
      <c r="KOA22" s="7"/>
      <c r="KOB22" s="7"/>
      <c r="KOC22" s="9"/>
      <c r="KOD22" s="9"/>
      <c r="KOJ22" s="9"/>
      <c r="KON22" s="7"/>
      <c r="KOO22" s="7"/>
      <c r="KOP22" s="7"/>
      <c r="KOQ22" s="9"/>
      <c r="KOR22" s="9"/>
      <c r="KOX22" s="9"/>
      <c r="KPB22" s="7"/>
      <c r="KPC22" s="7"/>
      <c r="KPD22" s="7"/>
      <c r="KPE22" s="9"/>
      <c r="KPF22" s="9"/>
      <c r="KPL22" s="9"/>
      <c r="KPP22" s="7"/>
      <c r="KPQ22" s="7"/>
      <c r="KPR22" s="7"/>
      <c r="KPS22" s="9"/>
      <c r="KPT22" s="9"/>
      <c r="KPZ22" s="9"/>
      <c r="KQD22" s="7"/>
      <c r="KQE22" s="7"/>
      <c r="KQF22" s="7"/>
      <c r="KQG22" s="9"/>
      <c r="KQH22" s="9"/>
      <c r="KQN22" s="9"/>
      <c r="KQR22" s="7"/>
      <c r="KQS22" s="7"/>
      <c r="KQT22" s="7"/>
      <c r="KQU22" s="9"/>
      <c r="KQV22" s="9"/>
      <c r="KRB22" s="9"/>
      <c r="KRF22" s="7"/>
      <c r="KRG22" s="7"/>
      <c r="KRH22" s="7"/>
      <c r="KRI22" s="9"/>
      <c r="KRJ22" s="9"/>
      <c r="KRP22" s="9"/>
      <c r="KRT22" s="7"/>
      <c r="KRU22" s="7"/>
      <c r="KRV22" s="7"/>
      <c r="KRW22" s="9"/>
      <c r="KRX22" s="9"/>
      <c r="KSD22" s="9"/>
      <c r="KSH22" s="7"/>
      <c r="KSI22" s="7"/>
      <c r="KSJ22" s="7"/>
      <c r="KSK22" s="9"/>
      <c r="KSL22" s="9"/>
      <c r="KSR22" s="9"/>
      <c r="KSV22" s="7"/>
      <c r="KSW22" s="7"/>
      <c r="KSX22" s="7"/>
      <c r="KSY22" s="9"/>
      <c r="KSZ22" s="9"/>
      <c r="KTF22" s="9"/>
      <c r="KTJ22" s="7"/>
      <c r="KTK22" s="7"/>
      <c r="KTL22" s="7"/>
      <c r="KTM22" s="9"/>
      <c r="KTN22" s="9"/>
      <c r="KTT22" s="9"/>
      <c r="KTX22" s="7"/>
      <c r="KTY22" s="7"/>
      <c r="KTZ22" s="7"/>
      <c r="KUA22" s="9"/>
      <c r="KUB22" s="9"/>
      <c r="KUH22" s="9"/>
      <c r="KUL22" s="7"/>
      <c r="KUM22" s="7"/>
      <c r="KUN22" s="7"/>
      <c r="KUO22" s="9"/>
      <c r="KUP22" s="9"/>
      <c r="KUV22" s="9"/>
      <c r="KUZ22" s="7"/>
      <c r="KVA22" s="7"/>
      <c r="KVB22" s="7"/>
      <c r="KVC22" s="9"/>
      <c r="KVD22" s="9"/>
      <c r="KVJ22" s="9"/>
      <c r="KVN22" s="7"/>
      <c r="KVO22" s="7"/>
      <c r="KVP22" s="7"/>
      <c r="KVQ22" s="9"/>
      <c r="KVR22" s="9"/>
      <c r="KVX22" s="9"/>
      <c r="KWB22" s="7"/>
      <c r="KWC22" s="7"/>
      <c r="KWD22" s="7"/>
      <c r="KWE22" s="9"/>
      <c r="KWF22" s="9"/>
      <c r="KWL22" s="9"/>
      <c r="KWP22" s="7"/>
      <c r="KWQ22" s="7"/>
      <c r="KWR22" s="7"/>
      <c r="KWS22" s="9"/>
      <c r="KWT22" s="9"/>
      <c r="KWZ22" s="9"/>
      <c r="KXD22" s="7"/>
      <c r="KXE22" s="7"/>
      <c r="KXF22" s="7"/>
      <c r="KXG22" s="9"/>
      <c r="KXH22" s="9"/>
      <c r="KXN22" s="9"/>
      <c r="KXR22" s="7"/>
      <c r="KXS22" s="7"/>
      <c r="KXT22" s="7"/>
      <c r="KXU22" s="9"/>
      <c r="KXV22" s="9"/>
      <c r="KYB22" s="9"/>
      <c r="KYF22" s="7"/>
      <c r="KYG22" s="7"/>
      <c r="KYH22" s="7"/>
      <c r="KYI22" s="9"/>
      <c r="KYJ22" s="9"/>
      <c r="KYP22" s="9"/>
      <c r="KYT22" s="7"/>
      <c r="KYU22" s="7"/>
      <c r="KYV22" s="7"/>
      <c r="KYW22" s="9"/>
      <c r="KYX22" s="9"/>
      <c r="KZD22" s="9"/>
      <c r="KZH22" s="7"/>
      <c r="KZI22" s="7"/>
      <c r="KZJ22" s="7"/>
      <c r="KZK22" s="9"/>
      <c r="KZL22" s="9"/>
      <c r="KZR22" s="9"/>
      <c r="KZV22" s="7"/>
      <c r="KZW22" s="7"/>
      <c r="KZX22" s="7"/>
      <c r="KZY22" s="9"/>
      <c r="KZZ22" s="9"/>
      <c r="LAF22" s="9"/>
      <c r="LAJ22" s="7"/>
      <c r="LAK22" s="7"/>
      <c r="LAL22" s="7"/>
      <c r="LAM22" s="9"/>
      <c r="LAN22" s="9"/>
      <c r="LAT22" s="9"/>
      <c r="LAX22" s="7"/>
      <c r="LAY22" s="7"/>
      <c r="LAZ22" s="7"/>
      <c r="LBA22" s="9"/>
      <c r="LBB22" s="9"/>
      <c r="LBH22" s="9"/>
      <c r="LBL22" s="7"/>
      <c r="LBM22" s="7"/>
      <c r="LBN22" s="7"/>
      <c r="LBO22" s="9"/>
      <c r="LBP22" s="9"/>
      <c r="LBV22" s="9"/>
      <c r="LBZ22" s="7"/>
      <c r="LCA22" s="7"/>
      <c r="LCB22" s="7"/>
      <c r="LCC22" s="9"/>
      <c r="LCD22" s="9"/>
      <c r="LCJ22" s="9"/>
      <c r="LCN22" s="7"/>
      <c r="LCO22" s="7"/>
      <c r="LCP22" s="7"/>
      <c r="LCQ22" s="9"/>
      <c r="LCR22" s="9"/>
      <c r="LCX22" s="9"/>
      <c r="LDB22" s="7"/>
      <c r="LDC22" s="7"/>
      <c r="LDD22" s="7"/>
      <c r="LDE22" s="9"/>
      <c r="LDF22" s="9"/>
      <c r="LDL22" s="9"/>
      <c r="LDP22" s="7"/>
      <c r="LDQ22" s="7"/>
      <c r="LDR22" s="7"/>
      <c r="LDS22" s="9"/>
      <c r="LDT22" s="9"/>
      <c r="LDZ22" s="9"/>
      <c r="LED22" s="7"/>
      <c r="LEE22" s="7"/>
      <c r="LEF22" s="7"/>
      <c r="LEG22" s="9"/>
      <c r="LEH22" s="9"/>
      <c r="LEN22" s="9"/>
      <c r="LER22" s="7"/>
      <c r="LES22" s="7"/>
      <c r="LET22" s="7"/>
      <c r="LEU22" s="9"/>
      <c r="LEV22" s="9"/>
      <c r="LFB22" s="9"/>
      <c r="LFF22" s="7"/>
      <c r="LFG22" s="7"/>
      <c r="LFH22" s="7"/>
      <c r="LFI22" s="9"/>
      <c r="LFJ22" s="9"/>
      <c r="LFP22" s="9"/>
      <c r="LFT22" s="7"/>
      <c r="LFU22" s="7"/>
      <c r="LFV22" s="7"/>
      <c r="LFW22" s="9"/>
      <c r="LFX22" s="9"/>
      <c r="LGD22" s="9"/>
      <c r="LGH22" s="7"/>
      <c r="LGI22" s="7"/>
      <c r="LGJ22" s="7"/>
      <c r="LGK22" s="9"/>
      <c r="LGL22" s="9"/>
      <c r="LGR22" s="9"/>
      <c r="LGV22" s="7"/>
      <c r="LGW22" s="7"/>
      <c r="LGX22" s="7"/>
      <c r="LGY22" s="9"/>
      <c r="LGZ22" s="9"/>
      <c r="LHF22" s="9"/>
      <c r="LHJ22" s="7"/>
      <c r="LHK22" s="7"/>
      <c r="LHL22" s="7"/>
      <c r="LHM22" s="9"/>
      <c r="LHN22" s="9"/>
      <c r="LHT22" s="9"/>
      <c r="LHX22" s="7"/>
      <c r="LHY22" s="7"/>
      <c r="LHZ22" s="7"/>
      <c r="LIA22" s="9"/>
      <c r="LIB22" s="9"/>
      <c r="LIH22" s="9"/>
      <c r="LIL22" s="7"/>
      <c r="LIM22" s="7"/>
      <c r="LIN22" s="7"/>
      <c r="LIO22" s="9"/>
      <c r="LIP22" s="9"/>
      <c r="LIV22" s="9"/>
      <c r="LIZ22" s="7"/>
      <c r="LJA22" s="7"/>
      <c r="LJB22" s="7"/>
      <c r="LJC22" s="9"/>
      <c r="LJD22" s="9"/>
      <c r="LJJ22" s="9"/>
      <c r="LJN22" s="7"/>
      <c r="LJO22" s="7"/>
      <c r="LJP22" s="7"/>
      <c r="LJQ22" s="9"/>
      <c r="LJR22" s="9"/>
      <c r="LJX22" s="9"/>
      <c r="LKB22" s="7"/>
      <c r="LKC22" s="7"/>
      <c r="LKD22" s="7"/>
      <c r="LKE22" s="9"/>
      <c r="LKF22" s="9"/>
      <c r="LKL22" s="9"/>
      <c r="LKP22" s="7"/>
      <c r="LKQ22" s="7"/>
      <c r="LKR22" s="7"/>
      <c r="LKS22" s="9"/>
      <c r="LKT22" s="9"/>
      <c r="LKZ22" s="9"/>
      <c r="LLD22" s="7"/>
      <c r="LLE22" s="7"/>
      <c r="LLF22" s="7"/>
      <c r="LLG22" s="9"/>
      <c r="LLH22" s="9"/>
      <c r="LLN22" s="9"/>
      <c r="LLR22" s="7"/>
      <c r="LLS22" s="7"/>
      <c r="LLT22" s="7"/>
      <c r="LLU22" s="9"/>
      <c r="LLV22" s="9"/>
      <c r="LMB22" s="9"/>
      <c r="LMF22" s="7"/>
      <c r="LMG22" s="7"/>
      <c r="LMH22" s="7"/>
      <c r="LMI22" s="9"/>
      <c r="LMJ22" s="9"/>
      <c r="LMP22" s="9"/>
      <c r="LMT22" s="7"/>
      <c r="LMU22" s="7"/>
      <c r="LMV22" s="7"/>
      <c r="LMW22" s="9"/>
      <c r="LMX22" s="9"/>
      <c r="LND22" s="9"/>
      <c r="LNH22" s="7"/>
      <c r="LNI22" s="7"/>
      <c r="LNJ22" s="7"/>
      <c r="LNK22" s="9"/>
      <c r="LNL22" s="9"/>
      <c r="LNR22" s="9"/>
      <c r="LNV22" s="7"/>
      <c r="LNW22" s="7"/>
      <c r="LNX22" s="7"/>
      <c r="LNY22" s="9"/>
      <c r="LNZ22" s="9"/>
      <c r="LOF22" s="9"/>
      <c r="LOJ22" s="7"/>
      <c r="LOK22" s="7"/>
      <c r="LOL22" s="7"/>
      <c r="LOM22" s="9"/>
      <c r="LON22" s="9"/>
      <c r="LOT22" s="9"/>
      <c r="LOX22" s="7"/>
      <c r="LOY22" s="7"/>
      <c r="LOZ22" s="7"/>
      <c r="LPA22" s="9"/>
      <c r="LPB22" s="9"/>
      <c r="LPH22" s="9"/>
      <c r="LPL22" s="7"/>
      <c r="LPM22" s="7"/>
      <c r="LPN22" s="7"/>
      <c r="LPO22" s="9"/>
      <c r="LPP22" s="9"/>
      <c r="LPV22" s="9"/>
      <c r="LPZ22" s="7"/>
      <c r="LQA22" s="7"/>
      <c r="LQB22" s="7"/>
      <c r="LQC22" s="9"/>
      <c r="LQD22" s="9"/>
      <c r="LQJ22" s="9"/>
      <c r="LQN22" s="7"/>
      <c r="LQO22" s="7"/>
      <c r="LQP22" s="7"/>
      <c r="LQQ22" s="9"/>
      <c r="LQR22" s="9"/>
      <c r="LQX22" s="9"/>
      <c r="LRB22" s="7"/>
      <c r="LRC22" s="7"/>
      <c r="LRD22" s="7"/>
      <c r="LRE22" s="9"/>
      <c r="LRF22" s="9"/>
      <c r="LRL22" s="9"/>
      <c r="LRP22" s="7"/>
      <c r="LRQ22" s="7"/>
      <c r="LRR22" s="7"/>
      <c r="LRS22" s="9"/>
      <c r="LRT22" s="9"/>
      <c r="LRZ22" s="9"/>
      <c r="LSD22" s="7"/>
      <c r="LSE22" s="7"/>
      <c r="LSF22" s="7"/>
      <c r="LSG22" s="9"/>
      <c r="LSH22" s="9"/>
      <c r="LSN22" s="9"/>
      <c r="LSR22" s="7"/>
      <c r="LSS22" s="7"/>
      <c r="LST22" s="7"/>
      <c r="LSU22" s="9"/>
      <c r="LSV22" s="9"/>
      <c r="LTB22" s="9"/>
      <c r="LTF22" s="7"/>
      <c r="LTG22" s="7"/>
      <c r="LTH22" s="7"/>
      <c r="LTI22" s="9"/>
      <c r="LTJ22" s="9"/>
      <c r="LTP22" s="9"/>
      <c r="LTT22" s="7"/>
      <c r="LTU22" s="7"/>
      <c r="LTV22" s="7"/>
      <c r="LTW22" s="9"/>
      <c r="LTX22" s="9"/>
      <c r="LUD22" s="9"/>
      <c r="LUH22" s="7"/>
      <c r="LUI22" s="7"/>
      <c r="LUJ22" s="7"/>
      <c r="LUK22" s="9"/>
      <c r="LUL22" s="9"/>
      <c r="LUR22" s="9"/>
      <c r="LUV22" s="7"/>
      <c r="LUW22" s="7"/>
      <c r="LUX22" s="7"/>
      <c r="LUY22" s="9"/>
      <c r="LUZ22" s="9"/>
      <c r="LVF22" s="9"/>
      <c r="LVJ22" s="7"/>
      <c r="LVK22" s="7"/>
      <c r="LVL22" s="7"/>
      <c r="LVM22" s="9"/>
      <c r="LVN22" s="9"/>
      <c r="LVT22" s="9"/>
      <c r="LVX22" s="7"/>
      <c r="LVY22" s="7"/>
      <c r="LVZ22" s="7"/>
      <c r="LWA22" s="9"/>
      <c r="LWB22" s="9"/>
      <c r="LWH22" s="9"/>
      <c r="LWL22" s="7"/>
      <c r="LWM22" s="7"/>
      <c r="LWN22" s="7"/>
      <c r="LWO22" s="9"/>
      <c r="LWP22" s="9"/>
      <c r="LWV22" s="9"/>
      <c r="LWZ22" s="7"/>
      <c r="LXA22" s="7"/>
      <c r="LXB22" s="7"/>
      <c r="LXC22" s="9"/>
      <c r="LXD22" s="9"/>
      <c r="LXJ22" s="9"/>
      <c r="LXN22" s="7"/>
      <c r="LXO22" s="7"/>
      <c r="LXP22" s="7"/>
      <c r="LXQ22" s="9"/>
      <c r="LXR22" s="9"/>
      <c r="LXX22" s="9"/>
      <c r="LYB22" s="7"/>
      <c r="LYC22" s="7"/>
      <c r="LYD22" s="7"/>
      <c r="LYE22" s="9"/>
      <c r="LYF22" s="9"/>
      <c r="LYL22" s="9"/>
      <c r="LYP22" s="7"/>
      <c r="LYQ22" s="7"/>
      <c r="LYR22" s="7"/>
      <c r="LYS22" s="9"/>
      <c r="LYT22" s="9"/>
      <c r="LYZ22" s="9"/>
      <c r="LZD22" s="7"/>
      <c r="LZE22" s="7"/>
      <c r="LZF22" s="7"/>
      <c r="LZG22" s="9"/>
      <c r="LZH22" s="9"/>
      <c r="LZN22" s="9"/>
      <c r="LZR22" s="7"/>
      <c r="LZS22" s="7"/>
      <c r="LZT22" s="7"/>
      <c r="LZU22" s="9"/>
      <c r="LZV22" s="9"/>
      <c r="MAB22" s="9"/>
      <c r="MAF22" s="7"/>
      <c r="MAG22" s="7"/>
      <c r="MAH22" s="7"/>
      <c r="MAI22" s="9"/>
      <c r="MAJ22" s="9"/>
      <c r="MAP22" s="9"/>
      <c r="MAT22" s="7"/>
      <c r="MAU22" s="7"/>
      <c r="MAV22" s="7"/>
      <c r="MAW22" s="9"/>
      <c r="MAX22" s="9"/>
      <c r="MBD22" s="9"/>
      <c r="MBH22" s="7"/>
      <c r="MBI22" s="7"/>
      <c r="MBJ22" s="7"/>
      <c r="MBK22" s="9"/>
      <c r="MBL22" s="9"/>
      <c r="MBR22" s="9"/>
      <c r="MBV22" s="7"/>
      <c r="MBW22" s="7"/>
      <c r="MBX22" s="7"/>
      <c r="MBY22" s="9"/>
      <c r="MBZ22" s="9"/>
      <c r="MCF22" s="9"/>
      <c r="MCJ22" s="7"/>
      <c r="MCK22" s="7"/>
      <c r="MCL22" s="7"/>
      <c r="MCM22" s="9"/>
      <c r="MCN22" s="9"/>
      <c r="MCT22" s="9"/>
      <c r="MCX22" s="7"/>
      <c r="MCY22" s="7"/>
      <c r="MCZ22" s="7"/>
      <c r="MDA22" s="9"/>
      <c r="MDB22" s="9"/>
      <c r="MDH22" s="9"/>
      <c r="MDL22" s="7"/>
      <c r="MDM22" s="7"/>
      <c r="MDN22" s="7"/>
      <c r="MDO22" s="9"/>
      <c r="MDP22" s="9"/>
      <c r="MDV22" s="9"/>
      <c r="MDZ22" s="7"/>
      <c r="MEA22" s="7"/>
      <c r="MEB22" s="7"/>
      <c r="MEC22" s="9"/>
      <c r="MED22" s="9"/>
      <c r="MEJ22" s="9"/>
      <c r="MEN22" s="7"/>
      <c r="MEO22" s="7"/>
      <c r="MEP22" s="7"/>
      <c r="MEQ22" s="9"/>
      <c r="MER22" s="9"/>
      <c r="MEX22" s="9"/>
      <c r="MFB22" s="7"/>
      <c r="MFC22" s="7"/>
      <c r="MFD22" s="7"/>
      <c r="MFE22" s="9"/>
      <c r="MFF22" s="9"/>
      <c r="MFL22" s="9"/>
      <c r="MFP22" s="7"/>
      <c r="MFQ22" s="7"/>
      <c r="MFR22" s="7"/>
      <c r="MFS22" s="9"/>
      <c r="MFT22" s="9"/>
      <c r="MFZ22" s="9"/>
      <c r="MGD22" s="7"/>
      <c r="MGE22" s="7"/>
      <c r="MGF22" s="7"/>
      <c r="MGG22" s="9"/>
      <c r="MGH22" s="9"/>
      <c r="MGN22" s="9"/>
      <c r="MGR22" s="7"/>
      <c r="MGS22" s="7"/>
      <c r="MGT22" s="7"/>
      <c r="MGU22" s="9"/>
      <c r="MGV22" s="9"/>
      <c r="MHB22" s="9"/>
      <c r="MHF22" s="7"/>
      <c r="MHG22" s="7"/>
      <c r="MHH22" s="7"/>
      <c r="MHI22" s="9"/>
      <c r="MHJ22" s="9"/>
      <c r="MHP22" s="9"/>
      <c r="MHT22" s="7"/>
      <c r="MHU22" s="7"/>
      <c r="MHV22" s="7"/>
      <c r="MHW22" s="9"/>
      <c r="MHX22" s="9"/>
      <c r="MID22" s="9"/>
      <c r="MIH22" s="7"/>
      <c r="MII22" s="7"/>
      <c r="MIJ22" s="7"/>
      <c r="MIK22" s="9"/>
      <c r="MIL22" s="9"/>
      <c r="MIR22" s="9"/>
      <c r="MIV22" s="7"/>
      <c r="MIW22" s="7"/>
      <c r="MIX22" s="7"/>
      <c r="MIY22" s="9"/>
      <c r="MIZ22" s="9"/>
      <c r="MJF22" s="9"/>
      <c r="MJJ22" s="7"/>
      <c r="MJK22" s="7"/>
      <c r="MJL22" s="7"/>
      <c r="MJM22" s="9"/>
      <c r="MJN22" s="9"/>
      <c r="MJT22" s="9"/>
      <c r="MJX22" s="7"/>
      <c r="MJY22" s="7"/>
      <c r="MJZ22" s="7"/>
      <c r="MKA22" s="9"/>
      <c r="MKB22" s="9"/>
      <c r="MKH22" s="9"/>
      <c r="MKL22" s="7"/>
      <c r="MKM22" s="7"/>
      <c r="MKN22" s="7"/>
      <c r="MKO22" s="9"/>
      <c r="MKP22" s="9"/>
      <c r="MKV22" s="9"/>
      <c r="MKZ22" s="7"/>
      <c r="MLA22" s="7"/>
      <c r="MLB22" s="7"/>
      <c r="MLC22" s="9"/>
      <c r="MLD22" s="9"/>
      <c r="MLJ22" s="9"/>
      <c r="MLN22" s="7"/>
      <c r="MLO22" s="7"/>
      <c r="MLP22" s="7"/>
      <c r="MLQ22" s="9"/>
      <c r="MLR22" s="9"/>
      <c r="MLX22" s="9"/>
      <c r="MMB22" s="7"/>
      <c r="MMC22" s="7"/>
      <c r="MMD22" s="7"/>
      <c r="MME22" s="9"/>
      <c r="MMF22" s="9"/>
      <c r="MML22" s="9"/>
      <c r="MMP22" s="7"/>
      <c r="MMQ22" s="7"/>
      <c r="MMR22" s="7"/>
      <c r="MMS22" s="9"/>
      <c r="MMT22" s="9"/>
      <c r="MMZ22" s="9"/>
      <c r="MND22" s="7"/>
      <c r="MNE22" s="7"/>
      <c r="MNF22" s="7"/>
      <c r="MNG22" s="9"/>
      <c r="MNH22" s="9"/>
      <c r="MNN22" s="9"/>
      <c r="MNR22" s="7"/>
      <c r="MNS22" s="7"/>
      <c r="MNT22" s="7"/>
      <c r="MNU22" s="9"/>
      <c r="MNV22" s="9"/>
      <c r="MOB22" s="9"/>
      <c r="MOF22" s="7"/>
      <c r="MOG22" s="7"/>
      <c r="MOH22" s="7"/>
      <c r="MOI22" s="9"/>
      <c r="MOJ22" s="9"/>
      <c r="MOP22" s="9"/>
      <c r="MOT22" s="7"/>
      <c r="MOU22" s="7"/>
      <c r="MOV22" s="7"/>
      <c r="MOW22" s="9"/>
      <c r="MOX22" s="9"/>
      <c r="MPD22" s="9"/>
      <c r="MPH22" s="7"/>
      <c r="MPI22" s="7"/>
      <c r="MPJ22" s="7"/>
      <c r="MPK22" s="9"/>
      <c r="MPL22" s="9"/>
      <c r="MPR22" s="9"/>
      <c r="MPV22" s="7"/>
      <c r="MPW22" s="7"/>
      <c r="MPX22" s="7"/>
      <c r="MPY22" s="9"/>
      <c r="MPZ22" s="9"/>
      <c r="MQF22" s="9"/>
      <c r="MQJ22" s="7"/>
      <c r="MQK22" s="7"/>
      <c r="MQL22" s="7"/>
      <c r="MQM22" s="9"/>
      <c r="MQN22" s="9"/>
      <c r="MQT22" s="9"/>
      <c r="MQX22" s="7"/>
      <c r="MQY22" s="7"/>
      <c r="MQZ22" s="7"/>
      <c r="MRA22" s="9"/>
      <c r="MRB22" s="9"/>
      <c r="MRH22" s="9"/>
      <c r="MRL22" s="7"/>
      <c r="MRM22" s="7"/>
      <c r="MRN22" s="7"/>
      <c r="MRO22" s="9"/>
      <c r="MRP22" s="9"/>
      <c r="MRV22" s="9"/>
      <c r="MRZ22" s="7"/>
      <c r="MSA22" s="7"/>
      <c r="MSB22" s="7"/>
      <c r="MSC22" s="9"/>
      <c r="MSD22" s="9"/>
      <c r="MSJ22" s="9"/>
      <c r="MSN22" s="7"/>
      <c r="MSO22" s="7"/>
      <c r="MSP22" s="7"/>
      <c r="MSQ22" s="9"/>
      <c r="MSR22" s="9"/>
      <c r="MSX22" s="9"/>
      <c r="MTB22" s="7"/>
      <c r="MTC22" s="7"/>
      <c r="MTD22" s="7"/>
      <c r="MTE22" s="9"/>
      <c r="MTF22" s="9"/>
      <c r="MTL22" s="9"/>
      <c r="MTP22" s="7"/>
      <c r="MTQ22" s="7"/>
      <c r="MTR22" s="7"/>
      <c r="MTS22" s="9"/>
      <c r="MTT22" s="9"/>
      <c r="MTZ22" s="9"/>
      <c r="MUD22" s="7"/>
      <c r="MUE22" s="7"/>
      <c r="MUF22" s="7"/>
      <c r="MUG22" s="9"/>
      <c r="MUH22" s="9"/>
      <c r="MUN22" s="9"/>
      <c r="MUR22" s="7"/>
      <c r="MUS22" s="7"/>
      <c r="MUT22" s="7"/>
      <c r="MUU22" s="9"/>
      <c r="MUV22" s="9"/>
      <c r="MVB22" s="9"/>
      <c r="MVF22" s="7"/>
      <c r="MVG22" s="7"/>
      <c r="MVH22" s="7"/>
      <c r="MVI22" s="9"/>
      <c r="MVJ22" s="9"/>
      <c r="MVP22" s="9"/>
      <c r="MVT22" s="7"/>
      <c r="MVU22" s="7"/>
      <c r="MVV22" s="7"/>
      <c r="MVW22" s="9"/>
      <c r="MVX22" s="9"/>
      <c r="MWD22" s="9"/>
      <c r="MWH22" s="7"/>
      <c r="MWI22" s="7"/>
      <c r="MWJ22" s="7"/>
      <c r="MWK22" s="9"/>
      <c r="MWL22" s="9"/>
      <c r="MWR22" s="9"/>
      <c r="MWV22" s="7"/>
      <c r="MWW22" s="7"/>
      <c r="MWX22" s="7"/>
      <c r="MWY22" s="9"/>
      <c r="MWZ22" s="9"/>
      <c r="MXF22" s="9"/>
      <c r="MXJ22" s="7"/>
      <c r="MXK22" s="7"/>
      <c r="MXL22" s="7"/>
      <c r="MXM22" s="9"/>
      <c r="MXN22" s="9"/>
      <c r="MXT22" s="9"/>
      <c r="MXX22" s="7"/>
      <c r="MXY22" s="7"/>
      <c r="MXZ22" s="7"/>
      <c r="MYA22" s="9"/>
      <c r="MYB22" s="9"/>
      <c r="MYH22" s="9"/>
      <c r="MYL22" s="7"/>
      <c r="MYM22" s="7"/>
      <c r="MYN22" s="7"/>
      <c r="MYO22" s="9"/>
      <c r="MYP22" s="9"/>
      <c r="MYV22" s="9"/>
      <c r="MYZ22" s="7"/>
      <c r="MZA22" s="7"/>
      <c r="MZB22" s="7"/>
      <c r="MZC22" s="9"/>
      <c r="MZD22" s="9"/>
      <c r="MZJ22" s="9"/>
      <c r="MZN22" s="7"/>
      <c r="MZO22" s="7"/>
      <c r="MZP22" s="7"/>
      <c r="MZQ22" s="9"/>
      <c r="MZR22" s="9"/>
      <c r="MZX22" s="9"/>
      <c r="NAB22" s="7"/>
      <c r="NAC22" s="7"/>
      <c r="NAD22" s="7"/>
      <c r="NAE22" s="9"/>
      <c r="NAF22" s="9"/>
      <c r="NAL22" s="9"/>
      <c r="NAP22" s="7"/>
      <c r="NAQ22" s="7"/>
      <c r="NAR22" s="7"/>
      <c r="NAS22" s="9"/>
      <c r="NAT22" s="9"/>
      <c r="NAZ22" s="9"/>
      <c r="NBD22" s="7"/>
      <c r="NBE22" s="7"/>
      <c r="NBF22" s="7"/>
      <c r="NBG22" s="9"/>
      <c r="NBH22" s="9"/>
      <c r="NBN22" s="9"/>
      <c r="NBR22" s="7"/>
      <c r="NBS22" s="7"/>
      <c r="NBT22" s="7"/>
      <c r="NBU22" s="9"/>
      <c r="NBV22" s="9"/>
      <c r="NCB22" s="9"/>
      <c r="NCF22" s="7"/>
      <c r="NCG22" s="7"/>
      <c r="NCH22" s="7"/>
      <c r="NCI22" s="9"/>
      <c r="NCJ22" s="9"/>
      <c r="NCP22" s="9"/>
      <c r="NCT22" s="7"/>
      <c r="NCU22" s="7"/>
      <c r="NCV22" s="7"/>
      <c r="NCW22" s="9"/>
      <c r="NCX22" s="9"/>
      <c r="NDD22" s="9"/>
      <c r="NDH22" s="7"/>
      <c r="NDI22" s="7"/>
      <c r="NDJ22" s="7"/>
      <c r="NDK22" s="9"/>
      <c r="NDL22" s="9"/>
      <c r="NDR22" s="9"/>
      <c r="NDV22" s="7"/>
      <c r="NDW22" s="7"/>
      <c r="NDX22" s="7"/>
      <c r="NDY22" s="9"/>
      <c r="NDZ22" s="9"/>
      <c r="NEF22" s="9"/>
      <c r="NEJ22" s="7"/>
      <c r="NEK22" s="7"/>
      <c r="NEL22" s="7"/>
      <c r="NEM22" s="9"/>
      <c r="NEN22" s="9"/>
      <c r="NET22" s="9"/>
      <c r="NEX22" s="7"/>
      <c r="NEY22" s="7"/>
      <c r="NEZ22" s="7"/>
      <c r="NFA22" s="9"/>
      <c r="NFB22" s="9"/>
      <c r="NFH22" s="9"/>
      <c r="NFL22" s="7"/>
      <c r="NFM22" s="7"/>
      <c r="NFN22" s="7"/>
      <c r="NFO22" s="9"/>
      <c r="NFP22" s="9"/>
      <c r="NFV22" s="9"/>
      <c r="NFZ22" s="7"/>
      <c r="NGA22" s="7"/>
      <c r="NGB22" s="7"/>
      <c r="NGC22" s="9"/>
      <c r="NGD22" s="9"/>
      <c r="NGJ22" s="9"/>
      <c r="NGN22" s="7"/>
      <c r="NGO22" s="7"/>
      <c r="NGP22" s="7"/>
      <c r="NGQ22" s="9"/>
      <c r="NGR22" s="9"/>
      <c r="NGX22" s="9"/>
      <c r="NHB22" s="7"/>
      <c r="NHC22" s="7"/>
      <c r="NHD22" s="7"/>
      <c r="NHE22" s="9"/>
      <c r="NHF22" s="9"/>
      <c r="NHL22" s="9"/>
      <c r="NHP22" s="7"/>
      <c r="NHQ22" s="7"/>
      <c r="NHR22" s="7"/>
      <c r="NHS22" s="9"/>
      <c r="NHT22" s="9"/>
      <c r="NHZ22" s="9"/>
      <c r="NID22" s="7"/>
      <c r="NIE22" s="7"/>
      <c r="NIF22" s="7"/>
      <c r="NIG22" s="9"/>
      <c r="NIH22" s="9"/>
      <c r="NIN22" s="9"/>
      <c r="NIR22" s="7"/>
      <c r="NIS22" s="7"/>
      <c r="NIT22" s="7"/>
      <c r="NIU22" s="9"/>
      <c r="NIV22" s="9"/>
      <c r="NJB22" s="9"/>
      <c r="NJF22" s="7"/>
      <c r="NJG22" s="7"/>
      <c r="NJH22" s="7"/>
      <c r="NJI22" s="9"/>
      <c r="NJJ22" s="9"/>
      <c r="NJP22" s="9"/>
      <c r="NJT22" s="7"/>
      <c r="NJU22" s="7"/>
      <c r="NJV22" s="7"/>
      <c r="NJW22" s="9"/>
      <c r="NJX22" s="9"/>
      <c r="NKD22" s="9"/>
      <c r="NKH22" s="7"/>
      <c r="NKI22" s="7"/>
      <c r="NKJ22" s="7"/>
      <c r="NKK22" s="9"/>
      <c r="NKL22" s="9"/>
      <c r="NKR22" s="9"/>
      <c r="NKV22" s="7"/>
      <c r="NKW22" s="7"/>
      <c r="NKX22" s="7"/>
      <c r="NKY22" s="9"/>
      <c r="NKZ22" s="9"/>
      <c r="NLF22" s="9"/>
      <c r="NLJ22" s="7"/>
      <c r="NLK22" s="7"/>
      <c r="NLL22" s="7"/>
      <c r="NLM22" s="9"/>
      <c r="NLN22" s="9"/>
      <c r="NLT22" s="9"/>
      <c r="NLX22" s="7"/>
      <c r="NLY22" s="7"/>
      <c r="NLZ22" s="7"/>
      <c r="NMA22" s="9"/>
      <c r="NMB22" s="9"/>
      <c r="NMH22" s="9"/>
      <c r="NML22" s="7"/>
      <c r="NMM22" s="7"/>
      <c r="NMN22" s="7"/>
      <c r="NMO22" s="9"/>
      <c r="NMP22" s="9"/>
      <c r="NMV22" s="9"/>
      <c r="NMZ22" s="7"/>
      <c r="NNA22" s="7"/>
      <c r="NNB22" s="7"/>
      <c r="NNC22" s="9"/>
      <c r="NND22" s="9"/>
      <c r="NNJ22" s="9"/>
      <c r="NNN22" s="7"/>
      <c r="NNO22" s="7"/>
      <c r="NNP22" s="7"/>
      <c r="NNQ22" s="9"/>
      <c r="NNR22" s="9"/>
      <c r="NNX22" s="9"/>
      <c r="NOB22" s="7"/>
      <c r="NOC22" s="7"/>
      <c r="NOD22" s="7"/>
      <c r="NOE22" s="9"/>
      <c r="NOF22" s="9"/>
      <c r="NOL22" s="9"/>
      <c r="NOP22" s="7"/>
      <c r="NOQ22" s="7"/>
      <c r="NOR22" s="7"/>
      <c r="NOS22" s="9"/>
      <c r="NOT22" s="9"/>
      <c r="NOZ22" s="9"/>
      <c r="NPD22" s="7"/>
      <c r="NPE22" s="7"/>
      <c r="NPF22" s="7"/>
      <c r="NPG22" s="9"/>
      <c r="NPH22" s="9"/>
      <c r="NPN22" s="9"/>
      <c r="NPR22" s="7"/>
      <c r="NPS22" s="7"/>
      <c r="NPT22" s="7"/>
      <c r="NPU22" s="9"/>
      <c r="NPV22" s="9"/>
      <c r="NQB22" s="9"/>
      <c r="NQF22" s="7"/>
      <c r="NQG22" s="7"/>
      <c r="NQH22" s="7"/>
      <c r="NQI22" s="9"/>
      <c r="NQJ22" s="9"/>
      <c r="NQP22" s="9"/>
      <c r="NQT22" s="7"/>
      <c r="NQU22" s="7"/>
      <c r="NQV22" s="7"/>
      <c r="NQW22" s="9"/>
      <c r="NQX22" s="9"/>
      <c r="NRD22" s="9"/>
      <c r="NRH22" s="7"/>
      <c r="NRI22" s="7"/>
      <c r="NRJ22" s="7"/>
      <c r="NRK22" s="9"/>
      <c r="NRL22" s="9"/>
      <c r="NRR22" s="9"/>
      <c r="NRV22" s="7"/>
      <c r="NRW22" s="7"/>
      <c r="NRX22" s="7"/>
      <c r="NRY22" s="9"/>
      <c r="NRZ22" s="9"/>
      <c r="NSF22" s="9"/>
      <c r="NSJ22" s="7"/>
      <c r="NSK22" s="7"/>
      <c r="NSL22" s="7"/>
      <c r="NSM22" s="9"/>
      <c r="NSN22" s="9"/>
      <c r="NST22" s="9"/>
      <c r="NSX22" s="7"/>
      <c r="NSY22" s="7"/>
      <c r="NSZ22" s="7"/>
      <c r="NTA22" s="9"/>
      <c r="NTB22" s="9"/>
      <c r="NTH22" s="9"/>
      <c r="NTL22" s="7"/>
      <c r="NTM22" s="7"/>
      <c r="NTN22" s="7"/>
      <c r="NTO22" s="9"/>
      <c r="NTP22" s="9"/>
      <c r="NTV22" s="9"/>
      <c r="NTZ22" s="7"/>
      <c r="NUA22" s="7"/>
      <c r="NUB22" s="7"/>
      <c r="NUC22" s="9"/>
      <c r="NUD22" s="9"/>
      <c r="NUJ22" s="9"/>
      <c r="NUN22" s="7"/>
      <c r="NUO22" s="7"/>
      <c r="NUP22" s="7"/>
      <c r="NUQ22" s="9"/>
      <c r="NUR22" s="9"/>
      <c r="NUX22" s="9"/>
      <c r="NVB22" s="7"/>
      <c r="NVC22" s="7"/>
      <c r="NVD22" s="7"/>
      <c r="NVE22" s="9"/>
      <c r="NVF22" s="9"/>
      <c r="NVL22" s="9"/>
      <c r="NVP22" s="7"/>
      <c r="NVQ22" s="7"/>
      <c r="NVR22" s="7"/>
      <c r="NVS22" s="9"/>
      <c r="NVT22" s="9"/>
      <c r="NVZ22" s="9"/>
      <c r="NWD22" s="7"/>
      <c r="NWE22" s="7"/>
      <c r="NWF22" s="7"/>
      <c r="NWG22" s="9"/>
      <c r="NWH22" s="9"/>
      <c r="NWN22" s="9"/>
      <c r="NWR22" s="7"/>
      <c r="NWS22" s="7"/>
      <c r="NWT22" s="7"/>
      <c r="NWU22" s="9"/>
      <c r="NWV22" s="9"/>
      <c r="NXB22" s="9"/>
      <c r="NXF22" s="7"/>
      <c r="NXG22" s="7"/>
      <c r="NXH22" s="7"/>
      <c r="NXI22" s="9"/>
      <c r="NXJ22" s="9"/>
      <c r="NXP22" s="9"/>
      <c r="NXT22" s="7"/>
      <c r="NXU22" s="7"/>
      <c r="NXV22" s="7"/>
      <c r="NXW22" s="9"/>
      <c r="NXX22" s="9"/>
      <c r="NYD22" s="9"/>
      <c r="NYH22" s="7"/>
      <c r="NYI22" s="7"/>
      <c r="NYJ22" s="7"/>
      <c r="NYK22" s="9"/>
      <c r="NYL22" s="9"/>
      <c r="NYR22" s="9"/>
      <c r="NYV22" s="7"/>
      <c r="NYW22" s="7"/>
      <c r="NYX22" s="7"/>
      <c r="NYY22" s="9"/>
      <c r="NYZ22" s="9"/>
      <c r="NZF22" s="9"/>
      <c r="NZJ22" s="7"/>
      <c r="NZK22" s="7"/>
      <c r="NZL22" s="7"/>
      <c r="NZM22" s="9"/>
      <c r="NZN22" s="9"/>
      <c r="NZT22" s="9"/>
      <c r="NZX22" s="7"/>
      <c r="NZY22" s="7"/>
      <c r="NZZ22" s="7"/>
      <c r="OAA22" s="9"/>
      <c r="OAB22" s="9"/>
      <c r="OAH22" s="9"/>
      <c r="OAL22" s="7"/>
      <c r="OAM22" s="7"/>
      <c r="OAN22" s="7"/>
      <c r="OAO22" s="9"/>
      <c r="OAP22" s="9"/>
      <c r="OAV22" s="9"/>
      <c r="OAZ22" s="7"/>
      <c r="OBA22" s="7"/>
      <c r="OBB22" s="7"/>
      <c r="OBC22" s="9"/>
      <c r="OBD22" s="9"/>
      <c r="OBJ22" s="9"/>
      <c r="OBN22" s="7"/>
      <c r="OBO22" s="7"/>
      <c r="OBP22" s="7"/>
      <c r="OBQ22" s="9"/>
      <c r="OBR22" s="9"/>
      <c r="OBX22" s="9"/>
      <c r="OCB22" s="7"/>
      <c r="OCC22" s="7"/>
      <c r="OCD22" s="7"/>
      <c r="OCE22" s="9"/>
      <c r="OCF22" s="9"/>
      <c r="OCL22" s="9"/>
      <c r="OCP22" s="7"/>
      <c r="OCQ22" s="7"/>
      <c r="OCR22" s="7"/>
      <c r="OCS22" s="9"/>
      <c r="OCT22" s="9"/>
      <c r="OCZ22" s="9"/>
      <c r="ODD22" s="7"/>
      <c r="ODE22" s="7"/>
      <c r="ODF22" s="7"/>
      <c r="ODG22" s="9"/>
      <c r="ODH22" s="9"/>
      <c r="ODN22" s="9"/>
      <c r="ODR22" s="7"/>
      <c r="ODS22" s="7"/>
      <c r="ODT22" s="7"/>
      <c r="ODU22" s="9"/>
      <c r="ODV22" s="9"/>
      <c r="OEB22" s="9"/>
      <c r="OEF22" s="7"/>
      <c r="OEG22" s="7"/>
      <c r="OEH22" s="7"/>
      <c r="OEI22" s="9"/>
      <c r="OEJ22" s="9"/>
      <c r="OEP22" s="9"/>
      <c r="OET22" s="7"/>
      <c r="OEU22" s="7"/>
      <c r="OEV22" s="7"/>
      <c r="OEW22" s="9"/>
      <c r="OEX22" s="9"/>
      <c r="OFD22" s="9"/>
      <c r="OFH22" s="7"/>
      <c r="OFI22" s="7"/>
      <c r="OFJ22" s="7"/>
      <c r="OFK22" s="9"/>
      <c r="OFL22" s="9"/>
      <c r="OFR22" s="9"/>
      <c r="OFV22" s="7"/>
      <c r="OFW22" s="7"/>
      <c r="OFX22" s="7"/>
      <c r="OFY22" s="9"/>
      <c r="OFZ22" s="9"/>
      <c r="OGF22" s="9"/>
      <c r="OGJ22" s="7"/>
      <c r="OGK22" s="7"/>
      <c r="OGL22" s="7"/>
      <c r="OGM22" s="9"/>
      <c r="OGN22" s="9"/>
      <c r="OGT22" s="9"/>
      <c r="OGX22" s="7"/>
      <c r="OGY22" s="7"/>
      <c r="OGZ22" s="7"/>
      <c r="OHA22" s="9"/>
      <c r="OHB22" s="9"/>
      <c r="OHH22" s="9"/>
      <c r="OHL22" s="7"/>
      <c r="OHM22" s="7"/>
      <c r="OHN22" s="7"/>
      <c r="OHO22" s="9"/>
      <c r="OHP22" s="9"/>
      <c r="OHV22" s="9"/>
      <c r="OHZ22" s="7"/>
      <c r="OIA22" s="7"/>
      <c r="OIB22" s="7"/>
      <c r="OIC22" s="9"/>
      <c r="OID22" s="9"/>
      <c r="OIJ22" s="9"/>
      <c r="OIN22" s="7"/>
      <c r="OIO22" s="7"/>
      <c r="OIP22" s="7"/>
      <c r="OIQ22" s="9"/>
      <c r="OIR22" s="9"/>
      <c r="OIX22" s="9"/>
      <c r="OJB22" s="7"/>
      <c r="OJC22" s="7"/>
      <c r="OJD22" s="7"/>
      <c r="OJE22" s="9"/>
      <c r="OJF22" s="9"/>
      <c r="OJL22" s="9"/>
      <c r="OJP22" s="7"/>
      <c r="OJQ22" s="7"/>
      <c r="OJR22" s="7"/>
      <c r="OJS22" s="9"/>
      <c r="OJT22" s="9"/>
      <c r="OJZ22" s="9"/>
      <c r="OKD22" s="7"/>
      <c r="OKE22" s="7"/>
      <c r="OKF22" s="7"/>
      <c r="OKG22" s="9"/>
      <c r="OKH22" s="9"/>
      <c r="OKN22" s="9"/>
      <c r="OKR22" s="7"/>
      <c r="OKS22" s="7"/>
      <c r="OKT22" s="7"/>
      <c r="OKU22" s="9"/>
      <c r="OKV22" s="9"/>
      <c r="OLB22" s="9"/>
      <c r="OLF22" s="7"/>
      <c r="OLG22" s="7"/>
      <c r="OLH22" s="7"/>
      <c r="OLI22" s="9"/>
      <c r="OLJ22" s="9"/>
      <c r="OLP22" s="9"/>
      <c r="OLT22" s="7"/>
      <c r="OLU22" s="7"/>
      <c r="OLV22" s="7"/>
      <c r="OLW22" s="9"/>
      <c r="OLX22" s="9"/>
      <c r="OMD22" s="9"/>
      <c r="OMH22" s="7"/>
      <c r="OMI22" s="7"/>
      <c r="OMJ22" s="7"/>
      <c r="OMK22" s="9"/>
      <c r="OML22" s="9"/>
      <c r="OMR22" s="9"/>
      <c r="OMV22" s="7"/>
      <c r="OMW22" s="7"/>
      <c r="OMX22" s="7"/>
      <c r="OMY22" s="9"/>
      <c r="OMZ22" s="9"/>
      <c r="ONF22" s="9"/>
      <c r="ONJ22" s="7"/>
      <c r="ONK22" s="7"/>
      <c r="ONL22" s="7"/>
      <c r="ONM22" s="9"/>
      <c r="ONN22" s="9"/>
      <c r="ONT22" s="9"/>
      <c r="ONX22" s="7"/>
      <c r="ONY22" s="7"/>
      <c r="ONZ22" s="7"/>
      <c r="OOA22" s="9"/>
      <c r="OOB22" s="9"/>
      <c r="OOH22" s="9"/>
      <c r="OOL22" s="7"/>
      <c r="OOM22" s="7"/>
      <c r="OON22" s="7"/>
      <c r="OOO22" s="9"/>
      <c r="OOP22" s="9"/>
      <c r="OOV22" s="9"/>
      <c r="OOZ22" s="7"/>
      <c r="OPA22" s="7"/>
      <c r="OPB22" s="7"/>
      <c r="OPC22" s="9"/>
      <c r="OPD22" s="9"/>
      <c r="OPJ22" s="9"/>
      <c r="OPN22" s="7"/>
      <c r="OPO22" s="7"/>
      <c r="OPP22" s="7"/>
      <c r="OPQ22" s="9"/>
      <c r="OPR22" s="9"/>
      <c r="OPX22" s="9"/>
      <c r="OQB22" s="7"/>
      <c r="OQC22" s="7"/>
      <c r="OQD22" s="7"/>
      <c r="OQE22" s="9"/>
      <c r="OQF22" s="9"/>
      <c r="OQL22" s="9"/>
      <c r="OQP22" s="7"/>
      <c r="OQQ22" s="7"/>
      <c r="OQR22" s="7"/>
      <c r="OQS22" s="9"/>
      <c r="OQT22" s="9"/>
      <c r="OQZ22" s="9"/>
      <c r="ORD22" s="7"/>
      <c r="ORE22" s="7"/>
      <c r="ORF22" s="7"/>
      <c r="ORG22" s="9"/>
      <c r="ORH22" s="9"/>
      <c r="ORN22" s="9"/>
      <c r="ORR22" s="7"/>
      <c r="ORS22" s="7"/>
      <c r="ORT22" s="7"/>
      <c r="ORU22" s="9"/>
      <c r="ORV22" s="9"/>
      <c r="OSB22" s="9"/>
      <c r="OSF22" s="7"/>
      <c r="OSG22" s="7"/>
      <c r="OSH22" s="7"/>
      <c r="OSI22" s="9"/>
      <c r="OSJ22" s="9"/>
      <c r="OSP22" s="9"/>
      <c r="OST22" s="7"/>
      <c r="OSU22" s="7"/>
      <c r="OSV22" s="7"/>
      <c r="OSW22" s="9"/>
      <c r="OSX22" s="9"/>
      <c r="OTD22" s="9"/>
      <c r="OTH22" s="7"/>
      <c r="OTI22" s="7"/>
      <c r="OTJ22" s="7"/>
      <c r="OTK22" s="9"/>
      <c r="OTL22" s="9"/>
      <c r="OTR22" s="9"/>
      <c r="OTV22" s="7"/>
      <c r="OTW22" s="7"/>
      <c r="OTX22" s="7"/>
      <c r="OTY22" s="9"/>
      <c r="OTZ22" s="9"/>
      <c r="OUF22" s="9"/>
      <c r="OUJ22" s="7"/>
      <c r="OUK22" s="7"/>
      <c r="OUL22" s="7"/>
      <c r="OUM22" s="9"/>
      <c r="OUN22" s="9"/>
      <c r="OUT22" s="9"/>
      <c r="OUX22" s="7"/>
      <c r="OUY22" s="7"/>
      <c r="OUZ22" s="7"/>
      <c r="OVA22" s="9"/>
      <c r="OVB22" s="9"/>
      <c r="OVH22" s="9"/>
      <c r="OVL22" s="7"/>
      <c r="OVM22" s="7"/>
      <c r="OVN22" s="7"/>
      <c r="OVO22" s="9"/>
      <c r="OVP22" s="9"/>
      <c r="OVV22" s="9"/>
      <c r="OVZ22" s="7"/>
      <c r="OWA22" s="7"/>
      <c r="OWB22" s="7"/>
      <c r="OWC22" s="9"/>
      <c r="OWD22" s="9"/>
      <c r="OWJ22" s="9"/>
      <c r="OWN22" s="7"/>
      <c r="OWO22" s="7"/>
      <c r="OWP22" s="7"/>
      <c r="OWQ22" s="9"/>
      <c r="OWR22" s="9"/>
      <c r="OWX22" s="9"/>
      <c r="OXB22" s="7"/>
      <c r="OXC22" s="7"/>
      <c r="OXD22" s="7"/>
      <c r="OXE22" s="9"/>
      <c r="OXF22" s="9"/>
      <c r="OXL22" s="9"/>
      <c r="OXP22" s="7"/>
      <c r="OXQ22" s="7"/>
      <c r="OXR22" s="7"/>
      <c r="OXS22" s="9"/>
      <c r="OXT22" s="9"/>
      <c r="OXZ22" s="9"/>
      <c r="OYD22" s="7"/>
      <c r="OYE22" s="7"/>
      <c r="OYF22" s="7"/>
      <c r="OYG22" s="9"/>
      <c r="OYH22" s="9"/>
      <c r="OYN22" s="9"/>
      <c r="OYR22" s="7"/>
      <c r="OYS22" s="7"/>
      <c r="OYT22" s="7"/>
      <c r="OYU22" s="9"/>
      <c r="OYV22" s="9"/>
      <c r="OZB22" s="9"/>
      <c r="OZF22" s="7"/>
      <c r="OZG22" s="7"/>
      <c r="OZH22" s="7"/>
      <c r="OZI22" s="9"/>
      <c r="OZJ22" s="9"/>
      <c r="OZP22" s="9"/>
      <c r="OZT22" s="7"/>
      <c r="OZU22" s="7"/>
      <c r="OZV22" s="7"/>
      <c r="OZW22" s="9"/>
      <c r="OZX22" s="9"/>
      <c r="PAD22" s="9"/>
      <c r="PAH22" s="7"/>
      <c r="PAI22" s="7"/>
      <c r="PAJ22" s="7"/>
      <c r="PAK22" s="9"/>
      <c r="PAL22" s="9"/>
      <c r="PAR22" s="9"/>
      <c r="PAV22" s="7"/>
      <c r="PAW22" s="7"/>
      <c r="PAX22" s="7"/>
      <c r="PAY22" s="9"/>
      <c r="PAZ22" s="9"/>
      <c r="PBF22" s="9"/>
      <c r="PBJ22" s="7"/>
      <c r="PBK22" s="7"/>
      <c r="PBL22" s="7"/>
      <c r="PBM22" s="9"/>
      <c r="PBN22" s="9"/>
      <c r="PBT22" s="9"/>
      <c r="PBX22" s="7"/>
      <c r="PBY22" s="7"/>
      <c r="PBZ22" s="7"/>
      <c r="PCA22" s="9"/>
      <c r="PCB22" s="9"/>
      <c r="PCH22" s="9"/>
      <c r="PCL22" s="7"/>
      <c r="PCM22" s="7"/>
      <c r="PCN22" s="7"/>
      <c r="PCO22" s="9"/>
      <c r="PCP22" s="9"/>
      <c r="PCV22" s="9"/>
      <c r="PCZ22" s="7"/>
      <c r="PDA22" s="7"/>
      <c r="PDB22" s="7"/>
      <c r="PDC22" s="9"/>
      <c r="PDD22" s="9"/>
      <c r="PDJ22" s="9"/>
      <c r="PDN22" s="7"/>
      <c r="PDO22" s="7"/>
      <c r="PDP22" s="7"/>
      <c r="PDQ22" s="9"/>
      <c r="PDR22" s="9"/>
      <c r="PDX22" s="9"/>
      <c r="PEB22" s="7"/>
      <c r="PEC22" s="7"/>
      <c r="PED22" s="7"/>
      <c r="PEE22" s="9"/>
      <c r="PEF22" s="9"/>
      <c r="PEL22" s="9"/>
      <c r="PEP22" s="7"/>
      <c r="PEQ22" s="7"/>
      <c r="PER22" s="7"/>
      <c r="PES22" s="9"/>
      <c r="PET22" s="9"/>
      <c r="PEZ22" s="9"/>
      <c r="PFD22" s="7"/>
      <c r="PFE22" s="7"/>
      <c r="PFF22" s="7"/>
      <c r="PFG22" s="9"/>
      <c r="PFH22" s="9"/>
      <c r="PFN22" s="9"/>
      <c r="PFR22" s="7"/>
      <c r="PFS22" s="7"/>
      <c r="PFT22" s="7"/>
      <c r="PFU22" s="9"/>
      <c r="PFV22" s="9"/>
      <c r="PGB22" s="9"/>
      <c r="PGF22" s="7"/>
      <c r="PGG22" s="7"/>
      <c r="PGH22" s="7"/>
      <c r="PGI22" s="9"/>
      <c r="PGJ22" s="9"/>
      <c r="PGP22" s="9"/>
      <c r="PGT22" s="7"/>
      <c r="PGU22" s="7"/>
      <c r="PGV22" s="7"/>
      <c r="PGW22" s="9"/>
      <c r="PGX22" s="9"/>
      <c r="PHD22" s="9"/>
      <c r="PHH22" s="7"/>
      <c r="PHI22" s="7"/>
      <c r="PHJ22" s="7"/>
      <c r="PHK22" s="9"/>
      <c r="PHL22" s="9"/>
      <c r="PHR22" s="9"/>
      <c r="PHV22" s="7"/>
      <c r="PHW22" s="7"/>
      <c r="PHX22" s="7"/>
      <c r="PHY22" s="9"/>
      <c r="PHZ22" s="9"/>
      <c r="PIF22" s="9"/>
      <c r="PIJ22" s="7"/>
      <c r="PIK22" s="7"/>
      <c r="PIL22" s="7"/>
      <c r="PIM22" s="9"/>
      <c r="PIN22" s="9"/>
      <c r="PIT22" s="9"/>
      <c r="PIX22" s="7"/>
      <c r="PIY22" s="7"/>
      <c r="PIZ22" s="7"/>
      <c r="PJA22" s="9"/>
      <c r="PJB22" s="9"/>
      <c r="PJH22" s="9"/>
      <c r="PJL22" s="7"/>
      <c r="PJM22" s="7"/>
      <c r="PJN22" s="7"/>
      <c r="PJO22" s="9"/>
      <c r="PJP22" s="9"/>
      <c r="PJV22" s="9"/>
      <c r="PJZ22" s="7"/>
      <c r="PKA22" s="7"/>
      <c r="PKB22" s="7"/>
      <c r="PKC22" s="9"/>
      <c r="PKD22" s="9"/>
      <c r="PKJ22" s="9"/>
      <c r="PKN22" s="7"/>
      <c r="PKO22" s="7"/>
      <c r="PKP22" s="7"/>
      <c r="PKQ22" s="9"/>
      <c r="PKR22" s="9"/>
      <c r="PKX22" s="9"/>
      <c r="PLB22" s="7"/>
      <c r="PLC22" s="7"/>
      <c r="PLD22" s="7"/>
      <c r="PLE22" s="9"/>
      <c r="PLF22" s="9"/>
      <c r="PLL22" s="9"/>
      <c r="PLP22" s="7"/>
      <c r="PLQ22" s="7"/>
      <c r="PLR22" s="7"/>
      <c r="PLS22" s="9"/>
      <c r="PLT22" s="9"/>
      <c r="PLZ22" s="9"/>
      <c r="PMD22" s="7"/>
      <c r="PME22" s="7"/>
      <c r="PMF22" s="7"/>
      <c r="PMG22" s="9"/>
      <c r="PMH22" s="9"/>
      <c r="PMN22" s="9"/>
      <c r="PMR22" s="7"/>
      <c r="PMS22" s="7"/>
      <c r="PMT22" s="7"/>
      <c r="PMU22" s="9"/>
      <c r="PMV22" s="9"/>
      <c r="PNB22" s="9"/>
      <c r="PNF22" s="7"/>
      <c r="PNG22" s="7"/>
      <c r="PNH22" s="7"/>
      <c r="PNI22" s="9"/>
      <c r="PNJ22" s="9"/>
      <c r="PNP22" s="9"/>
      <c r="PNT22" s="7"/>
      <c r="PNU22" s="7"/>
      <c r="PNV22" s="7"/>
      <c r="PNW22" s="9"/>
      <c r="PNX22" s="9"/>
      <c r="POD22" s="9"/>
      <c r="POH22" s="7"/>
      <c r="POI22" s="7"/>
      <c r="POJ22" s="7"/>
      <c r="POK22" s="9"/>
      <c r="POL22" s="9"/>
      <c r="POR22" s="9"/>
      <c r="POV22" s="7"/>
      <c r="POW22" s="7"/>
      <c r="POX22" s="7"/>
      <c r="POY22" s="9"/>
      <c r="POZ22" s="9"/>
      <c r="PPF22" s="9"/>
      <c r="PPJ22" s="7"/>
      <c r="PPK22" s="7"/>
      <c r="PPL22" s="7"/>
      <c r="PPM22" s="9"/>
      <c r="PPN22" s="9"/>
      <c r="PPT22" s="9"/>
      <c r="PPX22" s="7"/>
      <c r="PPY22" s="7"/>
      <c r="PPZ22" s="7"/>
      <c r="PQA22" s="9"/>
      <c r="PQB22" s="9"/>
      <c r="PQH22" s="9"/>
      <c r="PQL22" s="7"/>
      <c r="PQM22" s="7"/>
      <c r="PQN22" s="7"/>
      <c r="PQO22" s="9"/>
      <c r="PQP22" s="9"/>
      <c r="PQV22" s="9"/>
      <c r="PQZ22" s="7"/>
      <c r="PRA22" s="7"/>
      <c r="PRB22" s="7"/>
      <c r="PRC22" s="9"/>
      <c r="PRD22" s="9"/>
      <c r="PRJ22" s="9"/>
      <c r="PRN22" s="7"/>
      <c r="PRO22" s="7"/>
      <c r="PRP22" s="7"/>
      <c r="PRQ22" s="9"/>
      <c r="PRR22" s="9"/>
      <c r="PRX22" s="9"/>
      <c r="PSB22" s="7"/>
      <c r="PSC22" s="7"/>
      <c r="PSD22" s="7"/>
      <c r="PSE22" s="9"/>
      <c r="PSF22" s="9"/>
      <c r="PSL22" s="9"/>
      <c r="PSP22" s="7"/>
      <c r="PSQ22" s="7"/>
      <c r="PSR22" s="7"/>
      <c r="PSS22" s="9"/>
      <c r="PST22" s="9"/>
      <c r="PSZ22" s="9"/>
      <c r="PTD22" s="7"/>
      <c r="PTE22" s="7"/>
      <c r="PTF22" s="7"/>
      <c r="PTG22" s="9"/>
      <c r="PTH22" s="9"/>
      <c r="PTN22" s="9"/>
      <c r="PTR22" s="7"/>
      <c r="PTS22" s="7"/>
      <c r="PTT22" s="7"/>
      <c r="PTU22" s="9"/>
      <c r="PTV22" s="9"/>
      <c r="PUB22" s="9"/>
      <c r="PUF22" s="7"/>
      <c r="PUG22" s="7"/>
      <c r="PUH22" s="7"/>
      <c r="PUI22" s="9"/>
      <c r="PUJ22" s="9"/>
      <c r="PUP22" s="9"/>
      <c r="PUT22" s="7"/>
      <c r="PUU22" s="7"/>
      <c r="PUV22" s="7"/>
      <c r="PUW22" s="9"/>
      <c r="PUX22" s="9"/>
      <c r="PVD22" s="9"/>
      <c r="PVH22" s="7"/>
      <c r="PVI22" s="7"/>
      <c r="PVJ22" s="7"/>
      <c r="PVK22" s="9"/>
      <c r="PVL22" s="9"/>
      <c r="PVR22" s="9"/>
      <c r="PVV22" s="7"/>
      <c r="PVW22" s="7"/>
      <c r="PVX22" s="7"/>
      <c r="PVY22" s="9"/>
      <c r="PVZ22" s="9"/>
      <c r="PWF22" s="9"/>
      <c r="PWJ22" s="7"/>
      <c r="PWK22" s="7"/>
      <c r="PWL22" s="7"/>
      <c r="PWM22" s="9"/>
      <c r="PWN22" s="9"/>
      <c r="PWT22" s="9"/>
      <c r="PWX22" s="7"/>
      <c r="PWY22" s="7"/>
      <c r="PWZ22" s="7"/>
      <c r="PXA22" s="9"/>
      <c r="PXB22" s="9"/>
      <c r="PXH22" s="9"/>
      <c r="PXL22" s="7"/>
      <c r="PXM22" s="7"/>
      <c r="PXN22" s="7"/>
      <c r="PXO22" s="9"/>
      <c r="PXP22" s="9"/>
      <c r="PXV22" s="9"/>
      <c r="PXZ22" s="7"/>
      <c r="PYA22" s="7"/>
      <c r="PYB22" s="7"/>
      <c r="PYC22" s="9"/>
      <c r="PYD22" s="9"/>
      <c r="PYJ22" s="9"/>
      <c r="PYN22" s="7"/>
      <c r="PYO22" s="7"/>
      <c r="PYP22" s="7"/>
      <c r="PYQ22" s="9"/>
      <c r="PYR22" s="9"/>
      <c r="PYX22" s="9"/>
      <c r="PZB22" s="7"/>
      <c r="PZC22" s="7"/>
      <c r="PZD22" s="7"/>
      <c r="PZE22" s="9"/>
      <c r="PZF22" s="9"/>
      <c r="PZL22" s="9"/>
      <c r="PZP22" s="7"/>
      <c r="PZQ22" s="7"/>
      <c r="PZR22" s="7"/>
      <c r="PZS22" s="9"/>
      <c r="PZT22" s="9"/>
      <c r="PZZ22" s="9"/>
      <c r="QAD22" s="7"/>
      <c r="QAE22" s="7"/>
      <c r="QAF22" s="7"/>
      <c r="QAG22" s="9"/>
      <c r="QAH22" s="9"/>
      <c r="QAN22" s="9"/>
      <c r="QAR22" s="7"/>
      <c r="QAS22" s="7"/>
      <c r="QAT22" s="7"/>
      <c r="QAU22" s="9"/>
      <c r="QAV22" s="9"/>
      <c r="QBB22" s="9"/>
      <c r="QBF22" s="7"/>
      <c r="QBG22" s="7"/>
      <c r="QBH22" s="7"/>
      <c r="QBI22" s="9"/>
      <c r="QBJ22" s="9"/>
      <c r="QBP22" s="9"/>
      <c r="QBT22" s="7"/>
      <c r="QBU22" s="7"/>
      <c r="QBV22" s="7"/>
      <c r="QBW22" s="9"/>
      <c r="QBX22" s="9"/>
      <c r="QCD22" s="9"/>
      <c r="QCH22" s="7"/>
      <c r="QCI22" s="7"/>
      <c r="QCJ22" s="7"/>
      <c r="QCK22" s="9"/>
      <c r="QCL22" s="9"/>
      <c r="QCR22" s="9"/>
      <c r="QCV22" s="7"/>
      <c r="QCW22" s="7"/>
      <c r="QCX22" s="7"/>
      <c r="QCY22" s="9"/>
      <c r="QCZ22" s="9"/>
      <c r="QDF22" s="9"/>
      <c r="QDJ22" s="7"/>
      <c r="QDK22" s="7"/>
      <c r="QDL22" s="7"/>
      <c r="QDM22" s="9"/>
      <c r="QDN22" s="9"/>
      <c r="QDT22" s="9"/>
      <c r="QDX22" s="7"/>
      <c r="QDY22" s="7"/>
      <c r="QDZ22" s="7"/>
      <c r="QEA22" s="9"/>
      <c r="QEB22" s="9"/>
      <c r="QEH22" s="9"/>
      <c r="QEL22" s="7"/>
      <c r="QEM22" s="7"/>
      <c r="QEN22" s="7"/>
      <c r="QEO22" s="9"/>
      <c r="QEP22" s="9"/>
      <c r="QEV22" s="9"/>
      <c r="QEZ22" s="7"/>
      <c r="QFA22" s="7"/>
      <c r="QFB22" s="7"/>
      <c r="QFC22" s="9"/>
      <c r="QFD22" s="9"/>
      <c r="QFJ22" s="9"/>
      <c r="QFN22" s="7"/>
      <c r="QFO22" s="7"/>
      <c r="QFP22" s="7"/>
      <c r="QFQ22" s="9"/>
      <c r="QFR22" s="9"/>
      <c r="QFX22" s="9"/>
      <c r="QGB22" s="7"/>
      <c r="QGC22" s="7"/>
      <c r="QGD22" s="7"/>
      <c r="QGE22" s="9"/>
      <c r="QGF22" s="9"/>
      <c r="QGL22" s="9"/>
      <c r="QGP22" s="7"/>
      <c r="QGQ22" s="7"/>
      <c r="QGR22" s="7"/>
      <c r="QGS22" s="9"/>
      <c r="QGT22" s="9"/>
      <c r="QGZ22" s="9"/>
      <c r="QHD22" s="7"/>
      <c r="QHE22" s="7"/>
      <c r="QHF22" s="7"/>
      <c r="QHG22" s="9"/>
      <c r="QHH22" s="9"/>
      <c r="QHN22" s="9"/>
      <c r="QHR22" s="7"/>
      <c r="QHS22" s="7"/>
      <c r="QHT22" s="7"/>
      <c r="QHU22" s="9"/>
      <c r="QHV22" s="9"/>
      <c r="QIB22" s="9"/>
      <c r="QIF22" s="7"/>
      <c r="QIG22" s="7"/>
      <c r="QIH22" s="7"/>
      <c r="QII22" s="9"/>
      <c r="QIJ22" s="9"/>
      <c r="QIP22" s="9"/>
      <c r="QIT22" s="7"/>
      <c r="QIU22" s="7"/>
      <c r="QIV22" s="7"/>
      <c r="QIW22" s="9"/>
      <c r="QIX22" s="9"/>
      <c r="QJD22" s="9"/>
      <c r="QJH22" s="7"/>
      <c r="QJI22" s="7"/>
      <c r="QJJ22" s="7"/>
      <c r="QJK22" s="9"/>
      <c r="QJL22" s="9"/>
      <c r="QJR22" s="9"/>
      <c r="QJV22" s="7"/>
      <c r="QJW22" s="7"/>
      <c r="QJX22" s="7"/>
      <c r="QJY22" s="9"/>
      <c r="QJZ22" s="9"/>
      <c r="QKF22" s="9"/>
      <c r="QKJ22" s="7"/>
      <c r="QKK22" s="7"/>
      <c r="QKL22" s="7"/>
      <c r="QKM22" s="9"/>
      <c r="QKN22" s="9"/>
      <c r="QKT22" s="9"/>
      <c r="QKX22" s="7"/>
      <c r="QKY22" s="7"/>
      <c r="QKZ22" s="7"/>
      <c r="QLA22" s="9"/>
      <c r="QLB22" s="9"/>
      <c r="QLH22" s="9"/>
      <c r="QLL22" s="7"/>
      <c r="QLM22" s="7"/>
      <c r="QLN22" s="7"/>
      <c r="QLO22" s="9"/>
      <c r="QLP22" s="9"/>
      <c r="QLV22" s="9"/>
      <c r="QLZ22" s="7"/>
      <c r="QMA22" s="7"/>
      <c r="QMB22" s="7"/>
      <c r="QMC22" s="9"/>
      <c r="QMD22" s="9"/>
      <c r="QMJ22" s="9"/>
      <c r="QMN22" s="7"/>
      <c r="QMO22" s="7"/>
      <c r="QMP22" s="7"/>
      <c r="QMQ22" s="9"/>
      <c r="QMR22" s="9"/>
      <c r="QMX22" s="9"/>
      <c r="QNB22" s="7"/>
      <c r="QNC22" s="7"/>
      <c r="QND22" s="7"/>
      <c r="QNE22" s="9"/>
      <c r="QNF22" s="9"/>
      <c r="QNL22" s="9"/>
      <c r="QNP22" s="7"/>
      <c r="QNQ22" s="7"/>
      <c r="QNR22" s="7"/>
      <c r="QNS22" s="9"/>
      <c r="QNT22" s="9"/>
      <c r="QNZ22" s="9"/>
      <c r="QOD22" s="7"/>
      <c r="QOE22" s="7"/>
      <c r="QOF22" s="7"/>
      <c r="QOG22" s="9"/>
      <c r="QOH22" s="9"/>
      <c r="QON22" s="9"/>
      <c r="QOR22" s="7"/>
      <c r="QOS22" s="7"/>
      <c r="QOT22" s="7"/>
      <c r="QOU22" s="9"/>
      <c r="QOV22" s="9"/>
      <c r="QPB22" s="9"/>
      <c r="QPF22" s="7"/>
      <c r="QPG22" s="7"/>
      <c r="QPH22" s="7"/>
      <c r="QPI22" s="9"/>
      <c r="QPJ22" s="9"/>
      <c r="QPP22" s="9"/>
      <c r="QPT22" s="7"/>
      <c r="QPU22" s="7"/>
      <c r="QPV22" s="7"/>
      <c r="QPW22" s="9"/>
      <c r="QPX22" s="9"/>
      <c r="QQD22" s="9"/>
      <c r="QQH22" s="7"/>
      <c r="QQI22" s="7"/>
      <c r="QQJ22" s="7"/>
      <c r="QQK22" s="9"/>
      <c r="QQL22" s="9"/>
      <c r="QQR22" s="9"/>
      <c r="QQV22" s="7"/>
      <c r="QQW22" s="7"/>
      <c r="QQX22" s="7"/>
      <c r="QQY22" s="9"/>
      <c r="QQZ22" s="9"/>
      <c r="QRF22" s="9"/>
      <c r="QRJ22" s="7"/>
      <c r="QRK22" s="7"/>
      <c r="QRL22" s="7"/>
      <c r="QRM22" s="9"/>
      <c r="QRN22" s="9"/>
      <c r="QRT22" s="9"/>
      <c r="QRX22" s="7"/>
      <c r="QRY22" s="7"/>
      <c r="QRZ22" s="7"/>
      <c r="QSA22" s="9"/>
      <c r="QSB22" s="9"/>
      <c r="QSH22" s="9"/>
      <c r="QSL22" s="7"/>
      <c r="QSM22" s="7"/>
      <c r="QSN22" s="7"/>
      <c r="QSO22" s="9"/>
      <c r="QSP22" s="9"/>
      <c r="QSV22" s="9"/>
      <c r="QSZ22" s="7"/>
      <c r="QTA22" s="7"/>
      <c r="QTB22" s="7"/>
      <c r="QTC22" s="9"/>
      <c r="QTD22" s="9"/>
      <c r="QTJ22" s="9"/>
      <c r="QTN22" s="7"/>
      <c r="QTO22" s="7"/>
      <c r="QTP22" s="7"/>
      <c r="QTQ22" s="9"/>
      <c r="QTR22" s="9"/>
      <c r="QTX22" s="9"/>
      <c r="QUB22" s="7"/>
      <c r="QUC22" s="7"/>
      <c r="QUD22" s="7"/>
      <c r="QUE22" s="9"/>
      <c r="QUF22" s="9"/>
      <c r="QUL22" s="9"/>
      <c r="QUP22" s="7"/>
      <c r="QUQ22" s="7"/>
      <c r="QUR22" s="7"/>
      <c r="QUS22" s="9"/>
      <c r="QUT22" s="9"/>
      <c r="QUZ22" s="9"/>
      <c r="QVD22" s="7"/>
      <c r="QVE22" s="7"/>
      <c r="QVF22" s="7"/>
      <c r="QVG22" s="9"/>
      <c r="QVH22" s="9"/>
      <c r="QVN22" s="9"/>
      <c r="QVR22" s="7"/>
      <c r="QVS22" s="7"/>
      <c r="QVT22" s="7"/>
      <c r="QVU22" s="9"/>
      <c r="QVV22" s="9"/>
      <c r="QWB22" s="9"/>
      <c r="QWF22" s="7"/>
      <c r="QWG22" s="7"/>
      <c r="QWH22" s="7"/>
      <c r="QWI22" s="9"/>
      <c r="QWJ22" s="9"/>
      <c r="QWP22" s="9"/>
      <c r="QWT22" s="7"/>
      <c r="QWU22" s="7"/>
      <c r="QWV22" s="7"/>
      <c r="QWW22" s="9"/>
      <c r="QWX22" s="9"/>
      <c r="QXD22" s="9"/>
      <c r="QXH22" s="7"/>
      <c r="QXI22" s="7"/>
      <c r="QXJ22" s="7"/>
      <c r="QXK22" s="9"/>
      <c r="QXL22" s="9"/>
      <c r="QXR22" s="9"/>
      <c r="QXV22" s="7"/>
      <c r="QXW22" s="7"/>
      <c r="QXX22" s="7"/>
      <c r="QXY22" s="9"/>
      <c r="QXZ22" s="9"/>
      <c r="QYF22" s="9"/>
      <c r="QYJ22" s="7"/>
      <c r="QYK22" s="7"/>
      <c r="QYL22" s="7"/>
      <c r="QYM22" s="9"/>
      <c r="QYN22" s="9"/>
      <c r="QYT22" s="9"/>
      <c r="QYX22" s="7"/>
      <c r="QYY22" s="7"/>
      <c r="QYZ22" s="7"/>
      <c r="QZA22" s="9"/>
      <c r="QZB22" s="9"/>
      <c r="QZH22" s="9"/>
      <c r="QZL22" s="7"/>
      <c r="QZM22" s="7"/>
      <c r="QZN22" s="7"/>
      <c r="QZO22" s="9"/>
      <c r="QZP22" s="9"/>
      <c r="QZV22" s="9"/>
      <c r="QZZ22" s="7"/>
      <c r="RAA22" s="7"/>
      <c r="RAB22" s="7"/>
      <c r="RAC22" s="9"/>
      <c r="RAD22" s="9"/>
      <c r="RAJ22" s="9"/>
      <c r="RAN22" s="7"/>
      <c r="RAO22" s="7"/>
      <c r="RAP22" s="7"/>
      <c r="RAQ22" s="9"/>
      <c r="RAR22" s="9"/>
      <c r="RAX22" s="9"/>
      <c r="RBB22" s="7"/>
      <c r="RBC22" s="7"/>
      <c r="RBD22" s="7"/>
      <c r="RBE22" s="9"/>
      <c r="RBF22" s="9"/>
      <c r="RBL22" s="9"/>
      <c r="RBP22" s="7"/>
      <c r="RBQ22" s="7"/>
      <c r="RBR22" s="7"/>
      <c r="RBS22" s="9"/>
      <c r="RBT22" s="9"/>
      <c r="RBZ22" s="9"/>
      <c r="RCD22" s="7"/>
      <c r="RCE22" s="7"/>
      <c r="RCF22" s="7"/>
      <c r="RCG22" s="9"/>
      <c r="RCH22" s="9"/>
      <c r="RCN22" s="9"/>
      <c r="RCR22" s="7"/>
      <c r="RCS22" s="7"/>
      <c r="RCT22" s="7"/>
      <c r="RCU22" s="9"/>
      <c r="RCV22" s="9"/>
      <c r="RDB22" s="9"/>
      <c r="RDF22" s="7"/>
      <c r="RDG22" s="7"/>
      <c r="RDH22" s="7"/>
      <c r="RDI22" s="9"/>
      <c r="RDJ22" s="9"/>
      <c r="RDP22" s="9"/>
      <c r="RDT22" s="7"/>
      <c r="RDU22" s="7"/>
      <c r="RDV22" s="7"/>
      <c r="RDW22" s="9"/>
      <c r="RDX22" s="9"/>
      <c r="RED22" s="9"/>
      <c r="REH22" s="7"/>
      <c r="REI22" s="7"/>
      <c r="REJ22" s="7"/>
      <c r="REK22" s="9"/>
      <c r="REL22" s="9"/>
      <c r="RER22" s="9"/>
      <c r="REV22" s="7"/>
      <c r="REW22" s="7"/>
      <c r="REX22" s="7"/>
      <c r="REY22" s="9"/>
      <c r="REZ22" s="9"/>
      <c r="RFF22" s="9"/>
      <c r="RFJ22" s="7"/>
      <c r="RFK22" s="7"/>
      <c r="RFL22" s="7"/>
      <c r="RFM22" s="9"/>
      <c r="RFN22" s="9"/>
      <c r="RFT22" s="9"/>
      <c r="RFX22" s="7"/>
      <c r="RFY22" s="7"/>
      <c r="RFZ22" s="7"/>
      <c r="RGA22" s="9"/>
      <c r="RGB22" s="9"/>
      <c r="RGH22" s="9"/>
      <c r="RGL22" s="7"/>
      <c r="RGM22" s="7"/>
      <c r="RGN22" s="7"/>
      <c r="RGO22" s="9"/>
      <c r="RGP22" s="9"/>
      <c r="RGV22" s="9"/>
      <c r="RGZ22" s="7"/>
      <c r="RHA22" s="7"/>
      <c r="RHB22" s="7"/>
      <c r="RHC22" s="9"/>
      <c r="RHD22" s="9"/>
      <c r="RHJ22" s="9"/>
      <c r="RHN22" s="7"/>
      <c r="RHO22" s="7"/>
      <c r="RHP22" s="7"/>
      <c r="RHQ22" s="9"/>
      <c r="RHR22" s="9"/>
      <c r="RHX22" s="9"/>
      <c r="RIB22" s="7"/>
      <c r="RIC22" s="7"/>
      <c r="RID22" s="7"/>
      <c r="RIE22" s="9"/>
      <c r="RIF22" s="9"/>
      <c r="RIL22" s="9"/>
      <c r="RIP22" s="7"/>
      <c r="RIQ22" s="7"/>
      <c r="RIR22" s="7"/>
      <c r="RIS22" s="9"/>
      <c r="RIT22" s="9"/>
      <c r="RIZ22" s="9"/>
      <c r="RJD22" s="7"/>
      <c r="RJE22" s="7"/>
      <c r="RJF22" s="7"/>
      <c r="RJG22" s="9"/>
      <c r="RJH22" s="9"/>
      <c r="RJN22" s="9"/>
      <c r="RJR22" s="7"/>
      <c r="RJS22" s="7"/>
      <c r="RJT22" s="7"/>
      <c r="RJU22" s="9"/>
      <c r="RJV22" s="9"/>
      <c r="RKB22" s="9"/>
      <c r="RKF22" s="7"/>
      <c r="RKG22" s="7"/>
      <c r="RKH22" s="7"/>
      <c r="RKI22" s="9"/>
      <c r="RKJ22" s="9"/>
      <c r="RKP22" s="9"/>
      <c r="RKT22" s="7"/>
      <c r="RKU22" s="7"/>
      <c r="RKV22" s="7"/>
      <c r="RKW22" s="9"/>
      <c r="RKX22" s="9"/>
      <c r="RLD22" s="9"/>
      <c r="RLH22" s="7"/>
      <c r="RLI22" s="7"/>
      <c r="RLJ22" s="7"/>
      <c r="RLK22" s="9"/>
      <c r="RLL22" s="9"/>
      <c r="RLR22" s="9"/>
      <c r="RLV22" s="7"/>
      <c r="RLW22" s="7"/>
      <c r="RLX22" s="7"/>
      <c r="RLY22" s="9"/>
      <c r="RLZ22" s="9"/>
      <c r="RMF22" s="9"/>
      <c r="RMJ22" s="7"/>
      <c r="RMK22" s="7"/>
      <c r="RML22" s="7"/>
      <c r="RMM22" s="9"/>
      <c r="RMN22" s="9"/>
      <c r="RMT22" s="9"/>
      <c r="RMX22" s="7"/>
      <c r="RMY22" s="7"/>
      <c r="RMZ22" s="7"/>
      <c r="RNA22" s="9"/>
      <c r="RNB22" s="9"/>
      <c r="RNH22" s="9"/>
      <c r="RNL22" s="7"/>
      <c r="RNM22" s="7"/>
      <c r="RNN22" s="7"/>
      <c r="RNO22" s="9"/>
      <c r="RNP22" s="9"/>
      <c r="RNV22" s="9"/>
      <c r="RNZ22" s="7"/>
      <c r="ROA22" s="7"/>
      <c r="ROB22" s="7"/>
      <c r="ROC22" s="9"/>
      <c r="ROD22" s="9"/>
      <c r="ROJ22" s="9"/>
      <c r="RON22" s="7"/>
      <c r="ROO22" s="7"/>
      <c r="ROP22" s="7"/>
      <c r="ROQ22" s="9"/>
      <c r="ROR22" s="9"/>
      <c r="ROX22" s="9"/>
      <c r="RPB22" s="7"/>
      <c r="RPC22" s="7"/>
      <c r="RPD22" s="7"/>
      <c r="RPE22" s="9"/>
      <c r="RPF22" s="9"/>
      <c r="RPL22" s="9"/>
      <c r="RPP22" s="7"/>
      <c r="RPQ22" s="7"/>
      <c r="RPR22" s="7"/>
      <c r="RPS22" s="9"/>
      <c r="RPT22" s="9"/>
      <c r="RPZ22" s="9"/>
      <c r="RQD22" s="7"/>
      <c r="RQE22" s="7"/>
      <c r="RQF22" s="7"/>
      <c r="RQG22" s="9"/>
      <c r="RQH22" s="9"/>
      <c r="RQN22" s="9"/>
      <c r="RQR22" s="7"/>
      <c r="RQS22" s="7"/>
      <c r="RQT22" s="7"/>
      <c r="RQU22" s="9"/>
      <c r="RQV22" s="9"/>
      <c r="RRB22" s="9"/>
      <c r="RRF22" s="7"/>
      <c r="RRG22" s="7"/>
      <c r="RRH22" s="7"/>
      <c r="RRI22" s="9"/>
      <c r="RRJ22" s="9"/>
      <c r="RRP22" s="9"/>
      <c r="RRT22" s="7"/>
      <c r="RRU22" s="7"/>
      <c r="RRV22" s="7"/>
      <c r="RRW22" s="9"/>
      <c r="RRX22" s="9"/>
      <c r="RSD22" s="9"/>
      <c r="RSH22" s="7"/>
      <c r="RSI22" s="7"/>
      <c r="RSJ22" s="7"/>
      <c r="RSK22" s="9"/>
      <c r="RSL22" s="9"/>
      <c r="RSR22" s="9"/>
      <c r="RSV22" s="7"/>
      <c r="RSW22" s="7"/>
      <c r="RSX22" s="7"/>
      <c r="RSY22" s="9"/>
      <c r="RSZ22" s="9"/>
      <c r="RTF22" s="9"/>
      <c r="RTJ22" s="7"/>
      <c r="RTK22" s="7"/>
      <c r="RTL22" s="7"/>
      <c r="RTM22" s="9"/>
      <c r="RTN22" s="9"/>
      <c r="RTT22" s="9"/>
      <c r="RTX22" s="7"/>
      <c r="RTY22" s="7"/>
      <c r="RTZ22" s="7"/>
      <c r="RUA22" s="9"/>
      <c r="RUB22" s="9"/>
      <c r="RUH22" s="9"/>
      <c r="RUL22" s="7"/>
      <c r="RUM22" s="7"/>
      <c r="RUN22" s="7"/>
      <c r="RUO22" s="9"/>
      <c r="RUP22" s="9"/>
      <c r="RUV22" s="9"/>
      <c r="RUZ22" s="7"/>
      <c r="RVA22" s="7"/>
      <c r="RVB22" s="7"/>
      <c r="RVC22" s="9"/>
      <c r="RVD22" s="9"/>
      <c r="RVJ22" s="9"/>
      <c r="RVN22" s="7"/>
      <c r="RVO22" s="7"/>
      <c r="RVP22" s="7"/>
      <c r="RVQ22" s="9"/>
      <c r="RVR22" s="9"/>
      <c r="RVX22" s="9"/>
      <c r="RWB22" s="7"/>
      <c r="RWC22" s="7"/>
      <c r="RWD22" s="7"/>
      <c r="RWE22" s="9"/>
      <c r="RWF22" s="9"/>
      <c r="RWL22" s="9"/>
      <c r="RWP22" s="7"/>
      <c r="RWQ22" s="7"/>
      <c r="RWR22" s="7"/>
      <c r="RWS22" s="9"/>
      <c r="RWT22" s="9"/>
      <c r="RWZ22" s="9"/>
      <c r="RXD22" s="7"/>
      <c r="RXE22" s="7"/>
      <c r="RXF22" s="7"/>
      <c r="RXG22" s="9"/>
      <c r="RXH22" s="9"/>
      <c r="RXN22" s="9"/>
      <c r="RXR22" s="7"/>
      <c r="RXS22" s="7"/>
      <c r="RXT22" s="7"/>
      <c r="RXU22" s="9"/>
      <c r="RXV22" s="9"/>
      <c r="RYB22" s="9"/>
      <c r="RYF22" s="7"/>
      <c r="RYG22" s="7"/>
      <c r="RYH22" s="7"/>
      <c r="RYI22" s="9"/>
      <c r="RYJ22" s="9"/>
      <c r="RYP22" s="9"/>
      <c r="RYT22" s="7"/>
      <c r="RYU22" s="7"/>
      <c r="RYV22" s="7"/>
      <c r="RYW22" s="9"/>
      <c r="RYX22" s="9"/>
      <c r="RZD22" s="9"/>
      <c r="RZH22" s="7"/>
      <c r="RZI22" s="7"/>
      <c r="RZJ22" s="7"/>
      <c r="RZK22" s="9"/>
      <c r="RZL22" s="9"/>
      <c r="RZR22" s="9"/>
      <c r="RZV22" s="7"/>
      <c r="RZW22" s="7"/>
      <c r="RZX22" s="7"/>
      <c r="RZY22" s="9"/>
      <c r="RZZ22" s="9"/>
      <c r="SAF22" s="9"/>
      <c r="SAJ22" s="7"/>
      <c r="SAK22" s="7"/>
      <c r="SAL22" s="7"/>
      <c r="SAM22" s="9"/>
      <c r="SAN22" s="9"/>
      <c r="SAT22" s="9"/>
      <c r="SAX22" s="7"/>
      <c r="SAY22" s="7"/>
      <c r="SAZ22" s="7"/>
      <c r="SBA22" s="9"/>
      <c r="SBB22" s="9"/>
      <c r="SBH22" s="9"/>
      <c r="SBL22" s="7"/>
      <c r="SBM22" s="7"/>
      <c r="SBN22" s="7"/>
      <c r="SBO22" s="9"/>
      <c r="SBP22" s="9"/>
      <c r="SBV22" s="9"/>
      <c r="SBZ22" s="7"/>
      <c r="SCA22" s="7"/>
      <c r="SCB22" s="7"/>
      <c r="SCC22" s="9"/>
      <c r="SCD22" s="9"/>
      <c r="SCJ22" s="9"/>
      <c r="SCN22" s="7"/>
      <c r="SCO22" s="7"/>
      <c r="SCP22" s="7"/>
      <c r="SCQ22" s="9"/>
      <c r="SCR22" s="9"/>
      <c r="SCX22" s="9"/>
      <c r="SDB22" s="7"/>
      <c r="SDC22" s="7"/>
      <c r="SDD22" s="7"/>
      <c r="SDE22" s="9"/>
      <c r="SDF22" s="9"/>
      <c r="SDL22" s="9"/>
      <c r="SDP22" s="7"/>
      <c r="SDQ22" s="7"/>
      <c r="SDR22" s="7"/>
      <c r="SDS22" s="9"/>
      <c r="SDT22" s="9"/>
      <c r="SDZ22" s="9"/>
      <c r="SED22" s="7"/>
      <c r="SEE22" s="7"/>
      <c r="SEF22" s="7"/>
      <c r="SEG22" s="9"/>
      <c r="SEH22" s="9"/>
      <c r="SEN22" s="9"/>
      <c r="SER22" s="7"/>
      <c r="SES22" s="7"/>
      <c r="SET22" s="7"/>
      <c r="SEU22" s="9"/>
      <c r="SEV22" s="9"/>
      <c r="SFB22" s="9"/>
      <c r="SFF22" s="7"/>
      <c r="SFG22" s="7"/>
      <c r="SFH22" s="7"/>
      <c r="SFI22" s="9"/>
      <c r="SFJ22" s="9"/>
      <c r="SFP22" s="9"/>
      <c r="SFT22" s="7"/>
      <c r="SFU22" s="7"/>
      <c r="SFV22" s="7"/>
      <c r="SFW22" s="9"/>
      <c r="SFX22" s="9"/>
      <c r="SGD22" s="9"/>
      <c r="SGH22" s="7"/>
      <c r="SGI22" s="7"/>
      <c r="SGJ22" s="7"/>
      <c r="SGK22" s="9"/>
      <c r="SGL22" s="9"/>
      <c r="SGR22" s="9"/>
      <c r="SGV22" s="7"/>
      <c r="SGW22" s="7"/>
      <c r="SGX22" s="7"/>
      <c r="SGY22" s="9"/>
      <c r="SGZ22" s="9"/>
      <c r="SHF22" s="9"/>
      <c r="SHJ22" s="7"/>
      <c r="SHK22" s="7"/>
      <c r="SHL22" s="7"/>
      <c r="SHM22" s="9"/>
      <c r="SHN22" s="9"/>
      <c r="SHT22" s="9"/>
      <c r="SHX22" s="7"/>
      <c r="SHY22" s="7"/>
      <c r="SHZ22" s="7"/>
      <c r="SIA22" s="9"/>
      <c r="SIB22" s="9"/>
      <c r="SIH22" s="9"/>
      <c r="SIL22" s="7"/>
      <c r="SIM22" s="7"/>
      <c r="SIN22" s="7"/>
      <c r="SIO22" s="9"/>
      <c r="SIP22" s="9"/>
      <c r="SIV22" s="9"/>
      <c r="SIZ22" s="7"/>
      <c r="SJA22" s="7"/>
      <c r="SJB22" s="7"/>
      <c r="SJC22" s="9"/>
      <c r="SJD22" s="9"/>
      <c r="SJJ22" s="9"/>
      <c r="SJN22" s="7"/>
      <c r="SJO22" s="7"/>
      <c r="SJP22" s="7"/>
      <c r="SJQ22" s="9"/>
      <c r="SJR22" s="9"/>
      <c r="SJX22" s="9"/>
      <c r="SKB22" s="7"/>
      <c r="SKC22" s="7"/>
      <c r="SKD22" s="7"/>
      <c r="SKE22" s="9"/>
      <c r="SKF22" s="9"/>
      <c r="SKL22" s="9"/>
      <c r="SKP22" s="7"/>
      <c r="SKQ22" s="7"/>
      <c r="SKR22" s="7"/>
      <c r="SKS22" s="9"/>
      <c r="SKT22" s="9"/>
      <c r="SKZ22" s="9"/>
      <c r="SLD22" s="7"/>
      <c r="SLE22" s="7"/>
      <c r="SLF22" s="7"/>
      <c r="SLG22" s="9"/>
      <c r="SLH22" s="9"/>
      <c r="SLN22" s="9"/>
      <c r="SLR22" s="7"/>
      <c r="SLS22" s="7"/>
      <c r="SLT22" s="7"/>
      <c r="SLU22" s="9"/>
      <c r="SLV22" s="9"/>
      <c r="SMB22" s="9"/>
      <c r="SMF22" s="7"/>
      <c r="SMG22" s="7"/>
      <c r="SMH22" s="7"/>
      <c r="SMI22" s="9"/>
      <c r="SMJ22" s="9"/>
      <c r="SMP22" s="9"/>
      <c r="SMT22" s="7"/>
      <c r="SMU22" s="7"/>
      <c r="SMV22" s="7"/>
      <c r="SMW22" s="9"/>
      <c r="SMX22" s="9"/>
      <c r="SND22" s="9"/>
      <c r="SNH22" s="7"/>
      <c r="SNI22" s="7"/>
      <c r="SNJ22" s="7"/>
      <c r="SNK22" s="9"/>
      <c r="SNL22" s="9"/>
      <c r="SNR22" s="9"/>
      <c r="SNV22" s="7"/>
      <c r="SNW22" s="7"/>
      <c r="SNX22" s="7"/>
      <c r="SNY22" s="9"/>
      <c r="SNZ22" s="9"/>
      <c r="SOF22" s="9"/>
      <c r="SOJ22" s="7"/>
      <c r="SOK22" s="7"/>
      <c r="SOL22" s="7"/>
      <c r="SOM22" s="9"/>
      <c r="SON22" s="9"/>
      <c r="SOT22" s="9"/>
      <c r="SOX22" s="7"/>
      <c r="SOY22" s="7"/>
      <c r="SOZ22" s="7"/>
      <c r="SPA22" s="9"/>
      <c r="SPB22" s="9"/>
      <c r="SPH22" s="9"/>
      <c r="SPL22" s="7"/>
      <c r="SPM22" s="7"/>
      <c r="SPN22" s="7"/>
      <c r="SPO22" s="9"/>
      <c r="SPP22" s="9"/>
      <c r="SPV22" s="9"/>
      <c r="SPZ22" s="7"/>
      <c r="SQA22" s="7"/>
      <c r="SQB22" s="7"/>
      <c r="SQC22" s="9"/>
      <c r="SQD22" s="9"/>
      <c r="SQJ22" s="9"/>
      <c r="SQN22" s="7"/>
      <c r="SQO22" s="7"/>
      <c r="SQP22" s="7"/>
      <c r="SQQ22" s="9"/>
      <c r="SQR22" s="9"/>
      <c r="SQX22" s="9"/>
      <c r="SRB22" s="7"/>
      <c r="SRC22" s="7"/>
      <c r="SRD22" s="7"/>
      <c r="SRE22" s="9"/>
      <c r="SRF22" s="9"/>
      <c r="SRL22" s="9"/>
      <c r="SRP22" s="7"/>
      <c r="SRQ22" s="7"/>
      <c r="SRR22" s="7"/>
      <c r="SRS22" s="9"/>
      <c r="SRT22" s="9"/>
      <c r="SRZ22" s="9"/>
      <c r="SSD22" s="7"/>
      <c r="SSE22" s="7"/>
      <c r="SSF22" s="7"/>
      <c r="SSG22" s="9"/>
      <c r="SSH22" s="9"/>
      <c r="SSN22" s="9"/>
      <c r="SSR22" s="7"/>
      <c r="SSS22" s="7"/>
      <c r="SST22" s="7"/>
      <c r="SSU22" s="9"/>
      <c r="SSV22" s="9"/>
      <c r="STB22" s="9"/>
      <c r="STF22" s="7"/>
      <c r="STG22" s="7"/>
      <c r="STH22" s="7"/>
      <c r="STI22" s="9"/>
      <c r="STJ22" s="9"/>
      <c r="STP22" s="9"/>
      <c r="STT22" s="7"/>
      <c r="STU22" s="7"/>
      <c r="STV22" s="7"/>
      <c r="STW22" s="9"/>
      <c r="STX22" s="9"/>
      <c r="SUD22" s="9"/>
      <c r="SUH22" s="7"/>
      <c r="SUI22" s="7"/>
      <c r="SUJ22" s="7"/>
      <c r="SUK22" s="9"/>
      <c r="SUL22" s="9"/>
      <c r="SUR22" s="9"/>
      <c r="SUV22" s="7"/>
      <c r="SUW22" s="7"/>
      <c r="SUX22" s="7"/>
      <c r="SUY22" s="9"/>
      <c r="SUZ22" s="9"/>
      <c r="SVF22" s="9"/>
      <c r="SVJ22" s="7"/>
      <c r="SVK22" s="7"/>
      <c r="SVL22" s="7"/>
      <c r="SVM22" s="9"/>
      <c r="SVN22" s="9"/>
      <c r="SVT22" s="9"/>
      <c r="SVX22" s="7"/>
      <c r="SVY22" s="7"/>
      <c r="SVZ22" s="7"/>
      <c r="SWA22" s="9"/>
      <c r="SWB22" s="9"/>
      <c r="SWH22" s="9"/>
      <c r="SWL22" s="7"/>
      <c r="SWM22" s="7"/>
      <c r="SWN22" s="7"/>
      <c r="SWO22" s="9"/>
      <c r="SWP22" s="9"/>
      <c r="SWV22" s="9"/>
      <c r="SWZ22" s="7"/>
      <c r="SXA22" s="7"/>
      <c r="SXB22" s="7"/>
      <c r="SXC22" s="9"/>
      <c r="SXD22" s="9"/>
      <c r="SXJ22" s="9"/>
      <c r="SXN22" s="7"/>
      <c r="SXO22" s="7"/>
      <c r="SXP22" s="7"/>
      <c r="SXQ22" s="9"/>
      <c r="SXR22" s="9"/>
      <c r="SXX22" s="9"/>
      <c r="SYB22" s="7"/>
      <c r="SYC22" s="7"/>
      <c r="SYD22" s="7"/>
      <c r="SYE22" s="9"/>
      <c r="SYF22" s="9"/>
      <c r="SYL22" s="9"/>
      <c r="SYP22" s="7"/>
      <c r="SYQ22" s="7"/>
      <c r="SYR22" s="7"/>
      <c r="SYS22" s="9"/>
      <c r="SYT22" s="9"/>
      <c r="SYZ22" s="9"/>
      <c r="SZD22" s="7"/>
      <c r="SZE22" s="7"/>
      <c r="SZF22" s="7"/>
      <c r="SZG22" s="9"/>
      <c r="SZH22" s="9"/>
      <c r="SZN22" s="9"/>
      <c r="SZR22" s="7"/>
      <c r="SZS22" s="7"/>
      <c r="SZT22" s="7"/>
      <c r="SZU22" s="9"/>
      <c r="SZV22" s="9"/>
      <c r="TAB22" s="9"/>
      <c r="TAF22" s="7"/>
      <c r="TAG22" s="7"/>
      <c r="TAH22" s="7"/>
      <c r="TAI22" s="9"/>
      <c r="TAJ22" s="9"/>
      <c r="TAP22" s="9"/>
      <c r="TAT22" s="7"/>
      <c r="TAU22" s="7"/>
      <c r="TAV22" s="7"/>
      <c r="TAW22" s="9"/>
      <c r="TAX22" s="9"/>
      <c r="TBD22" s="9"/>
      <c r="TBH22" s="7"/>
      <c r="TBI22" s="7"/>
      <c r="TBJ22" s="7"/>
      <c r="TBK22" s="9"/>
      <c r="TBL22" s="9"/>
      <c r="TBR22" s="9"/>
      <c r="TBV22" s="7"/>
      <c r="TBW22" s="7"/>
      <c r="TBX22" s="7"/>
      <c r="TBY22" s="9"/>
      <c r="TBZ22" s="9"/>
      <c r="TCF22" s="9"/>
      <c r="TCJ22" s="7"/>
      <c r="TCK22" s="7"/>
      <c r="TCL22" s="7"/>
      <c r="TCM22" s="9"/>
      <c r="TCN22" s="9"/>
      <c r="TCT22" s="9"/>
      <c r="TCX22" s="7"/>
      <c r="TCY22" s="7"/>
      <c r="TCZ22" s="7"/>
      <c r="TDA22" s="9"/>
      <c r="TDB22" s="9"/>
      <c r="TDH22" s="9"/>
      <c r="TDL22" s="7"/>
      <c r="TDM22" s="7"/>
      <c r="TDN22" s="7"/>
      <c r="TDO22" s="9"/>
      <c r="TDP22" s="9"/>
      <c r="TDV22" s="9"/>
      <c r="TDZ22" s="7"/>
      <c r="TEA22" s="7"/>
      <c r="TEB22" s="7"/>
      <c r="TEC22" s="9"/>
      <c r="TED22" s="9"/>
      <c r="TEJ22" s="9"/>
      <c r="TEN22" s="7"/>
      <c r="TEO22" s="7"/>
      <c r="TEP22" s="7"/>
      <c r="TEQ22" s="9"/>
      <c r="TER22" s="9"/>
      <c r="TEX22" s="9"/>
      <c r="TFB22" s="7"/>
      <c r="TFC22" s="7"/>
      <c r="TFD22" s="7"/>
      <c r="TFE22" s="9"/>
      <c r="TFF22" s="9"/>
      <c r="TFL22" s="9"/>
      <c r="TFP22" s="7"/>
      <c r="TFQ22" s="7"/>
      <c r="TFR22" s="7"/>
      <c r="TFS22" s="9"/>
      <c r="TFT22" s="9"/>
      <c r="TFZ22" s="9"/>
      <c r="TGD22" s="7"/>
      <c r="TGE22" s="7"/>
      <c r="TGF22" s="7"/>
      <c r="TGG22" s="9"/>
      <c r="TGH22" s="9"/>
      <c r="TGN22" s="9"/>
      <c r="TGR22" s="7"/>
      <c r="TGS22" s="7"/>
      <c r="TGT22" s="7"/>
      <c r="TGU22" s="9"/>
      <c r="TGV22" s="9"/>
      <c r="THB22" s="9"/>
      <c r="THF22" s="7"/>
      <c r="THG22" s="7"/>
      <c r="THH22" s="7"/>
      <c r="THI22" s="9"/>
      <c r="THJ22" s="9"/>
      <c r="THP22" s="9"/>
      <c r="THT22" s="7"/>
      <c r="THU22" s="7"/>
      <c r="THV22" s="7"/>
      <c r="THW22" s="9"/>
      <c r="THX22" s="9"/>
      <c r="TID22" s="9"/>
      <c r="TIH22" s="7"/>
      <c r="TII22" s="7"/>
      <c r="TIJ22" s="7"/>
      <c r="TIK22" s="9"/>
      <c r="TIL22" s="9"/>
      <c r="TIR22" s="9"/>
      <c r="TIV22" s="7"/>
      <c r="TIW22" s="7"/>
      <c r="TIX22" s="7"/>
      <c r="TIY22" s="9"/>
      <c r="TIZ22" s="9"/>
      <c r="TJF22" s="9"/>
      <c r="TJJ22" s="7"/>
      <c r="TJK22" s="7"/>
      <c r="TJL22" s="7"/>
      <c r="TJM22" s="9"/>
      <c r="TJN22" s="9"/>
      <c r="TJT22" s="9"/>
      <c r="TJX22" s="7"/>
      <c r="TJY22" s="7"/>
      <c r="TJZ22" s="7"/>
      <c r="TKA22" s="9"/>
      <c r="TKB22" s="9"/>
      <c r="TKH22" s="9"/>
      <c r="TKL22" s="7"/>
      <c r="TKM22" s="7"/>
      <c r="TKN22" s="7"/>
      <c r="TKO22" s="9"/>
      <c r="TKP22" s="9"/>
      <c r="TKV22" s="9"/>
      <c r="TKZ22" s="7"/>
      <c r="TLA22" s="7"/>
      <c r="TLB22" s="7"/>
      <c r="TLC22" s="9"/>
      <c r="TLD22" s="9"/>
      <c r="TLJ22" s="9"/>
      <c r="TLN22" s="7"/>
      <c r="TLO22" s="7"/>
      <c r="TLP22" s="7"/>
      <c r="TLQ22" s="9"/>
      <c r="TLR22" s="9"/>
      <c r="TLX22" s="9"/>
      <c r="TMB22" s="7"/>
      <c r="TMC22" s="7"/>
      <c r="TMD22" s="7"/>
      <c r="TME22" s="9"/>
      <c r="TMF22" s="9"/>
      <c r="TML22" s="9"/>
      <c r="TMP22" s="7"/>
      <c r="TMQ22" s="7"/>
      <c r="TMR22" s="7"/>
      <c r="TMS22" s="9"/>
      <c r="TMT22" s="9"/>
      <c r="TMZ22" s="9"/>
      <c r="TND22" s="7"/>
      <c r="TNE22" s="7"/>
      <c r="TNF22" s="7"/>
      <c r="TNG22" s="9"/>
      <c r="TNH22" s="9"/>
      <c r="TNN22" s="9"/>
      <c r="TNR22" s="7"/>
      <c r="TNS22" s="7"/>
      <c r="TNT22" s="7"/>
      <c r="TNU22" s="9"/>
      <c r="TNV22" s="9"/>
      <c r="TOB22" s="9"/>
      <c r="TOF22" s="7"/>
      <c r="TOG22" s="7"/>
      <c r="TOH22" s="7"/>
      <c r="TOI22" s="9"/>
      <c r="TOJ22" s="9"/>
      <c r="TOP22" s="9"/>
      <c r="TOT22" s="7"/>
      <c r="TOU22" s="7"/>
      <c r="TOV22" s="7"/>
      <c r="TOW22" s="9"/>
      <c r="TOX22" s="9"/>
      <c r="TPD22" s="9"/>
      <c r="TPH22" s="7"/>
      <c r="TPI22" s="7"/>
      <c r="TPJ22" s="7"/>
      <c r="TPK22" s="9"/>
      <c r="TPL22" s="9"/>
      <c r="TPR22" s="9"/>
      <c r="TPV22" s="7"/>
      <c r="TPW22" s="7"/>
      <c r="TPX22" s="7"/>
      <c r="TPY22" s="9"/>
      <c r="TPZ22" s="9"/>
      <c r="TQF22" s="9"/>
      <c r="TQJ22" s="7"/>
      <c r="TQK22" s="7"/>
      <c r="TQL22" s="7"/>
      <c r="TQM22" s="9"/>
      <c r="TQN22" s="9"/>
      <c r="TQT22" s="9"/>
      <c r="TQX22" s="7"/>
      <c r="TQY22" s="7"/>
      <c r="TQZ22" s="7"/>
      <c r="TRA22" s="9"/>
      <c r="TRB22" s="9"/>
      <c r="TRH22" s="9"/>
      <c r="TRL22" s="7"/>
      <c r="TRM22" s="7"/>
      <c r="TRN22" s="7"/>
      <c r="TRO22" s="9"/>
      <c r="TRP22" s="9"/>
      <c r="TRV22" s="9"/>
      <c r="TRZ22" s="7"/>
      <c r="TSA22" s="7"/>
      <c r="TSB22" s="7"/>
      <c r="TSC22" s="9"/>
      <c r="TSD22" s="9"/>
      <c r="TSJ22" s="9"/>
      <c r="TSN22" s="7"/>
      <c r="TSO22" s="7"/>
      <c r="TSP22" s="7"/>
      <c r="TSQ22" s="9"/>
      <c r="TSR22" s="9"/>
      <c r="TSX22" s="9"/>
      <c r="TTB22" s="7"/>
      <c r="TTC22" s="7"/>
      <c r="TTD22" s="7"/>
      <c r="TTE22" s="9"/>
      <c r="TTF22" s="9"/>
      <c r="TTL22" s="9"/>
      <c r="TTP22" s="7"/>
      <c r="TTQ22" s="7"/>
      <c r="TTR22" s="7"/>
      <c r="TTS22" s="9"/>
      <c r="TTT22" s="9"/>
      <c r="TTZ22" s="9"/>
      <c r="TUD22" s="7"/>
      <c r="TUE22" s="7"/>
      <c r="TUF22" s="7"/>
      <c r="TUG22" s="9"/>
      <c r="TUH22" s="9"/>
      <c r="TUN22" s="9"/>
      <c r="TUR22" s="7"/>
      <c r="TUS22" s="7"/>
      <c r="TUT22" s="7"/>
      <c r="TUU22" s="9"/>
      <c r="TUV22" s="9"/>
      <c r="TVB22" s="9"/>
      <c r="TVF22" s="7"/>
      <c r="TVG22" s="7"/>
      <c r="TVH22" s="7"/>
      <c r="TVI22" s="9"/>
      <c r="TVJ22" s="9"/>
      <c r="TVP22" s="9"/>
      <c r="TVT22" s="7"/>
      <c r="TVU22" s="7"/>
      <c r="TVV22" s="7"/>
      <c r="TVW22" s="9"/>
      <c r="TVX22" s="9"/>
      <c r="TWD22" s="9"/>
      <c r="TWH22" s="7"/>
      <c r="TWI22" s="7"/>
      <c r="TWJ22" s="7"/>
      <c r="TWK22" s="9"/>
      <c r="TWL22" s="9"/>
      <c r="TWR22" s="9"/>
      <c r="TWV22" s="7"/>
      <c r="TWW22" s="7"/>
      <c r="TWX22" s="7"/>
      <c r="TWY22" s="9"/>
      <c r="TWZ22" s="9"/>
      <c r="TXF22" s="9"/>
      <c r="TXJ22" s="7"/>
      <c r="TXK22" s="7"/>
      <c r="TXL22" s="7"/>
      <c r="TXM22" s="9"/>
      <c r="TXN22" s="9"/>
      <c r="TXT22" s="9"/>
      <c r="TXX22" s="7"/>
      <c r="TXY22" s="7"/>
      <c r="TXZ22" s="7"/>
      <c r="TYA22" s="9"/>
      <c r="TYB22" s="9"/>
      <c r="TYH22" s="9"/>
      <c r="TYL22" s="7"/>
      <c r="TYM22" s="7"/>
      <c r="TYN22" s="7"/>
      <c r="TYO22" s="9"/>
      <c r="TYP22" s="9"/>
      <c r="TYV22" s="9"/>
      <c r="TYZ22" s="7"/>
      <c r="TZA22" s="7"/>
      <c r="TZB22" s="7"/>
      <c r="TZC22" s="9"/>
      <c r="TZD22" s="9"/>
      <c r="TZJ22" s="9"/>
      <c r="TZN22" s="7"/>
      <c r="TZO22" s="7"/>
      <c r="TZP22" s="7"/>
      <c r="TZQ22" s="9"/>
      <c r="TZR22" s="9"/>
      <c r="TZX22" s="9"/>
      <c r="UAB22" s="7"/>
      <c r="UAC22" s="7"/>
      <c r="UAD22" s="7"/>
      <c r="UAE22" s="9"/>
      <c r="UAF22" s="9"/>
      <c r="UAL22" s="9"/>
      <c r="UAP22" s="7"/>
      <c r="UAQ22" s="7"/>
      <c r="UAR22" s="7"/>
      <c r="UAS22" s="9"/>
      <c r="UAT22" s="9"/>
      <c r="UAZ22" s="9"/>
      <c r="UBD22" s="7"/>
      <c r="UBE22" s="7"/>
      <c r="UBF22" s="7"/>
      <c r="UBG22" s="9"/>
      <c r="UBH22" s="9"/>
      <c r="UBN22" s="9"/>
      <c r="UBR22" s="7"/>
      <c r="UBS22" s="7"/>
      <c r="UBT22" s="7"/>
      <c r="UBU22" s="9"/>
      <c r="UBV22" s="9"/>
      <c r="UCB22" s="9"/>
      <c r="UCF22" s="7"/>
      <c r="UCG22" s="7"/>
      <c r="UCH22" s="7"/>
      <c r="UCI22" s="9"/>
      <c r="UCJ22" s="9"/>
      <c r="UCP22" s="9"/>
      <c r="UCT22" s="7"/>
      <c r="UCU22" s="7"/>
      <c r="UCV22" s="7"/>
      <c r="UCW22" s="9"/>
      <c r="UCX22" s="9"/>
      <c r="UDD22" s="9"/>
      <c r="UDH22" s="7"/>
      <c r="UDI22" s="7"/>
      <c r="UDJ22" s="7"/>
      <c r="UDK22" s="9"/>
      <c r="UDL22" s="9"/>
      <c r="UDR22" s="9"/>
      <c r="UDV22" s="7"/>
      <c r="UDW22" s="7"/>
      <c r="UDX22" s="7"/>
      <c r="UDY22" s="9"/>
      <c r="UDZ22" s="9"/>
      <c r="UEF22" s="9"/>
      <c r="UEJ22" s="7"/>
      <c r="UEK22" s="7"/>
      <c r="UEL22" s="7"/>
      <c r="UEM22" s="9"/>
      <c r="UEN22" s="9"/>
      <c r="UET22" s="9"/>
      <c r="UEX22" s="7"/>
      <c r="UEY22" s="7"/>
      <c r="UEZ22" s="7"/>
      <c r="UFA22" s="9"/>
      <c r="UFB22" s="9"/>
      <c r="UFH22" s="9"/>
      <c r="UFL22" s="7"/>
      <c r="UFM22" s="7"/>
      <c r="UFN22" s="7"/>
      <c r="UFO22" s="9"/>
      <c r="UFP22" s="9"/>
      <c r="UFV22" s="9"/>
      <c r="UFZ22" s="7"/>
      <c r="UGA22" s="7"/>
      <c r="UGB22" s="7"/>
      <c r="UGC22" s="9"/>
      <c r="UGD22" s="9"/>
      <c r="UGJ22" s="9"/>
      <c r="UGN22" s="7"/>
      <c r="UGO22" s="7"/>
      <c r="UGP22" s="7"/>
      <c r="UGQ22" s="9"/>
      <c r="UGR22" s="9"/>
      <c r="UGX22" s="9"/>
      <c r="UHB22" s="7"/>
      <c r="UHC22" s="7"/>
      <c r="UHD22" s="7"/>
      <c r="UHE22" s="9"/>
      <c r="UHF22" s="9"/>
      <c r="UHL22" s="9"/>
      <c r="UHP22" s="7"/>
      <c r="UHQ22" s="7"/>
      <c r="UHR22" s="7"/>
      <c r="UHS22" s="9"/>
      <c r="UHT22" s="9"/>
      <c r="UHZ22" s="9"/>
      <c r="UID22" s="7"/>
      <c r="UIE22" s="7"/>
      <c r="UIF22" s="7"/>
      <c r="UIG22" s="9"/>
      <c r="UIH22" s="9"/>
      <c r="UIN22" s="9"/>
      <c r="UIR22" s="7"/>
      <c r="UIS22" s="7"/>
      <c r="UIT22" s="7"/>
      <c r="UIU22" s="9"/>
      <c r="UIV22" s="9"/>
      <c r="UJB22" s="9"/>
      <c r="UJF22" s="7"/>
      <c r="UJG22" s="7"/>
      <c r="UJH22" s="7"/>
      <c r="UJI22" s="9"/>
      <c r="UJJ22" s="9"/>
      <c r="UJP22" s="9"/>
      <c r="UJT22" s="7"/>
      <c r="UJU22" s="7"/>
      <c r="UJV22" s="7"/>
      <c r="UJW22" s="9"/>
      <c r="UJX22" s="9"/>
      <c r="UKD22" s="9"/>
      <c r="UKH22" s="7"/>
      <c r="UKI22" s="7"/>
      <c r="UKJ22" s="7"/>
      <c r="UKK22" s="9"/>
      <c r="UKL22" s="9"/>
      <c r="UKR22" s="9"/>
      <c r="UKV22" s="7"/>
      <c r="UKW22" s="7"/>
      <c r="UKX22" s="7"/>
      <c r="UKY22" s="9"/>
      <c r="UKZ22" s="9"/>
      <c r="ULF22" s="9"/>
      <c r="ULJ22" s="7"/>
      <c r="ULK22" s="7"/>
      <c r="ULL22" s="7"/>
      <c r="ULM22" s="9"/>
      <c r="ULN22" s="9"/>
      <c r="ULT22" s="9"/>
      <c r="ULX22" s="7"/>
      <c r="ULY22" s="7"/>
      <c r="ULZ22" s="7"/>
      <c r="UMA22" s="9"/>
      <c r="UMB22" s="9"/>
      <c r="UMH22" s="9"/>
      <c r="UML22" s="7"/>
      <c r="UMM22" s="7"/>
      <c r="UMN22" s="7"/>
      <c r="UMO22" s="9"/>
      <c r="UMP22" s="9"/>
      <c r="UMV22" s="9"/>
      <c r="UMZ22" s="7"/>
      <c r="UNA22" s="7"/>
      <c r="UNB22" s="7"/>
      <c r="UNC22" s="9"/>
      <c r="UND22" s="9"/>
      <c r="UNJ22" s="9"/>
      <c r="UNN22" s="7"/>
      <c r="UNO22" s="7"/>
      <c r="UNP22" s="7"/>
      <c r="UNQ22" s="9"/>
      <c r="UNR22" s="9"/>
      <c r="UNX22" s="9"/>
      <c r="UOB22" s="7"/>
      <c r="UOC22" s="7"/>
      <c r="UOD22" s="7"/>
      <c r="UOE22" s="9"/>
      <c r="UOF22" s="9"/>
      <c r="UOL22" s="9"/>
      <c r="UOP22" s="7"/>
      <c r="UOQ22" s="7"/>
      <c r="UOR22" s="7"/>
      <c r="UOS22" s="9"/>
      <c r="UOT22" s="9"/>
      <c r="UOZ22" s="9"/>
      <c r="UPD22" s="7"/>
      <c r="UPE22" s="7"/>
      <c r="UPF22" s="7"/>
      <c r="UPG22" s="9"/>
      <c r="UPH22" s="9"/>
      <c r="UPN22" s="9"/>
      <c r="UPR22" s="7"/>
      <c r="UPS22" s="7"/>
      <c r="UPT22" s="7"/>
      <c r="UPU22" s="9"/>
      <c r="UPV22" s="9"/>
      <c r="UQB22" s="9"/>
      <c r="UQF22" s="7"/>
      <c r="UQG22" s="7"/>
      <c r="UQH22" s="7"/>
      <c r="UQI22" s="9"/>
      <c r="UQJ22" s="9"/>
      <c r="UQP22" s="9"/>
      <c r="UQT22" s="7"/>
      <c r="UQU22" s="7"/>
      <c r="UQV22" s="7"/>
      <c r="UQW22" s="9"/>
      <c r="UQX22" s="9"/>
      <c r="URD22" s="9"/>
      <c r="URH22" s="7"/>
      <c r="URI22" s="7"/>
      <c r="URJ22" s="7"/>
      <c r="URK22" s="9"/>
      <c r="URL22" s="9"/>
      <c r="URR22" s="9"/>
      <c r="URV22" s="7"/>
      <c r="URW22" s="7"/>
      <c r="URX22" s="7"/>
      <c r="URY22" s="9"/>
      <c r="URZ22" s="9"/>
      <c r="USF22" s="9"/>
      <c r="USJ22" s="7"/>
      <c r="USK22" s="7"/>
      <c r="USL22" s="7"/>
      <c r="USM22" s="9"/>
      <c r="USN22" s="9"/>
      <c r="UST22" s="9"/>
      <c r="USX22" s="7"/>
      <c r="USY22" s="7"/>
      <c r="USZ22" s="7"/>
      <c r="UTA22" s="9"/>
      <c r="UTB22" s="9"/>
      <c r="UTH22" s="9"/>
      <c r="UTL22" s="7"/>
      <c r="UTM22" s="7"/>
      <c r="UTN22" s="7"/>
      <c r="UTO22" s="9"/>
      <c r="UTP22" s="9"/>
      <c r="UTV22" s="9"/>
      <c r="UTZ22" s="7"/>
      <c r="UUA22" s="7"/>
      <c r="UUB22" s="7"/>
      <c r="UUC22" s="9"/>
      <c r="UUD22" s="9"/>
      <c r="UUJ22" s="9"/>
      <c r="UUN22" s="7"/>
      <c r="UUO22" s="7"/>
      <c r="UUP22" s="7"/>
      <c r="UUQ22" s="9"/>
      <c r="UUR22" s="9"/>
      <c r="UUX22" s="9"/>
      <c r="UVB22" s="7"/>
      <c r="UVC22" s="7"/>
      <c r="UVD22" s="7"/>
      <c r="UVE22" s="9"/>
      <c r="UVF22" s="9"/>
      <c r="UVL22" s="9"/>
      <c r="UVP22" s="7"/>
      <c r="UVQ22" s="7"/>
      <c r="UVR22" s="7"/>
      <c r="UVS22" s="9"/>
      <c r="UVT22" s="9"/>
      <c r="UVZ22" s="9"/>
      <c r="UWD22" s="7"/>
      <c r="UWE22" s="7"/>
      <c r="UWF22" s="7"/>
      <c r="UWG22" s="9"/>
      <c r="UWH22" s="9"/>
      <c r="UWN22" s="9"/>
      <c r="UWR22" s="7"/>
      <c r="UWS22" s="7"/>
      <c r="UWT22" s="7"/>
      <c r="UWU22" s="9"/>
      <c r="UWV22" s="9"/>
      <c r="UXB22" s="9"/>
      <c r="UXF22" s="7"/>
      <c r="UXG22" s="7"/>
      <c r="UXH22" s="7"/>
      <c r="UXI22" s="9"/>
      <c r="UXJ22" s="9"/>
      <c r="UXP22" s="9"/>
      <c r="UXT22" s="7"/>
      <c r="UXU22" s="7"/>
      <c r="UXV22" s="7"/>
      <c r="UXW22" s="9"/>
      <c r="UXX22" s="9"/>
      <c r="UYD22" s="9"/>
      <c r="UYH22" s="7"/>
      <c r="UYI22" s="7"/>
      <c r="UYJ22" s="7"/>
      <c r="UYK22" s="9"/>
      <c r="UYL22" s="9"/>
      <c r="UYR22" s="9"/>
      <c r="UYV22" s="7"/>
      <c r="UYW22" s="7"/>
      <c r="UYX22" s="7"/>
      <c r="UYY22" s="9"/>
      <c r="UYZ22" s="9"/>
      <c r="UZF22" s="9"/>
      <c r="UZJ22" s="7"/>
      <c r="UZK22" s="7"/>
      <c r="UZL22" s="7"/>
      <c r="UZM22" s="9"/>
      <c r="UZN22" s="9"/>
      <c r="UZT22" s="9"/>
      <c r="UZX22" s="7"/>
      <c r="UZY22" s="7"/>
      <c r="UZZ22" s="7"/>
      <c r="VAA22" s="9"/>
      <c r="VAB22" s="9"/>
      <c r="VAH22" s="9"/>
      <c r="VAL22" s="7"/>
      <c r="VAM22" s="7"/>
      <c r="VAN22" s="7"/>
      <c r="VAO22" s="9"/>
      <c r="VAP22" s="9"/>
      <c r="VAV22" s="9"/>
      <c r="VAZ22" s="7"/>
      <c r="VBA22" s="7"/>
      <c r="VBB22" s="7"/>
      <c r="VBC22" s="9"/>
      <c r="VBD22" s="9"/>
      <c r="VBJ22" s="9"/>
      <c r="VBN22" s="7"/>
      <c r="VBO22" s="7"/>
      <c r="VBP22" s="7"/>
      <c r="VBQ22" s="9"/>
      <c r="VBR22" s="9"/>
      <c r="VBX22" s="9"/>
      <c r="VCB22" s="7"/>
      <c r="VCC22" s="7"/>
      <c r="VCD22" s="7"/>
      <c r="VCE22" s="9"/>
      <c r="VCF22" s="9"/>
      <c r="VCL22" s="9"/>
      <c r="VCP22" s="7"/>
      <c r="VCQ22" s="7"/>
      <c r="VCR22" s="7"/>
      <c r="VCS22" s="9"/>
      <c r="VCT22" s="9"/>
      <c r="VCZ22" s="9"/>
      <c r="VDD22" s="7"/>
      <c r="VDE22" s="7"/>
      <c r="VDF22" s="7"/>
      <c r="VDG22" s="9"/>
      <c r="VDH22" s="9"/>
      <c r="VDN22" s="9"/>
      <c r="VDR22" s="7"/>
      <c r="VDS22" s="7"/>
      <c r="VDT22" s="7"/>
      <c r="VDU22" s="9"/>
      <c r="VDV22" s="9"/>
      <c r="VEB22" s="9"/>
      <c r="VEF22" s="7"/>
      <c r="VEG22" s="7"/>
      <c r="VEH22" s="7"/>
      <c r="VEI22" s="9"/>
      <c r="VEJ22" s="9"/>
      <c r="VEP22" s="9"/>
      <c r="VET22" s="7"/>
      <c r="VEU22" s="7"/>
      <c r="VEV22" s="7"/>
      <c r="VEW22" s="9"/>
      <c r="VEX22" s="9"/>
      <c r="VFD22" s="9"/>
      <c r="VFH22" s="7"/>
      <c r="VFI22" s="7"/>
      <c r="VFJ22" s="7"/>
      <c r="VFK22" s="9"/>
      <c r="VFL22" s="9"/>
      <c r="VFR22" s="9"/>
      <c r="VFV22" s="7"/>
      <c r="VFW22" s="7"/>
      <c r="VFX22" s="7"/>
      <c r="VFY22" s="9"/>
      <c r="VFZ22" s="9"/>
      <c r="VGF22" s="9"/>
      <c r="VGJ22" s="7"/>
      <c r="VGK22" s="7"/>
      <c r="VGL22" s="7"/>
      <c r="VGM22" s="9"/>
      <c r="VGN22" s="9"/>
      <c r="VGT22" s="9"/>
      <c r="VGX22" s="7"/>
      <c r="VGY22" s="7"/>
      <c r="VGZ22" s="7"/>
      <c r="VHA22" s="9"/>
      <c r="VHB22" s="9"/>
      <c r="VHH22" s="9"/>
      <c r="VHL22" s="7"/>
      <c r="VHM22" s="7"/>
      <c r="VHN22" s="7"/>
      <c r="VHO22" s="9"/>
      <c r="VHP22" s="9"/>
      <c r="VHV22" s="9"/>
      <c r="VHZ22" s="7"/>
      <c r="VIA22" s="7"/>
      <c r="VIB22" s="7"/>
      <c r="VIC22" s="9"/>
      <c r="VID22" s="9"/>
      <c r="VIJ22" s="9"/>
      <c r="VIN22" s="7"/>
      <c r="VIO22" s="7"/>
      <c r="VIP22" s="7"/>
      <c r="VIQ22" s="9"/>
      <c r="VIR22" s="9"/>
      <c r="VIX22" s="9"/>
      <c r="VJB22" s="7"/>
      <c r="VJC22" s="7"/>
      <c r="VJD22" s="7"/>
      <c r="VJE22" s="9"/>
      <c r="VJF22" s="9"/>
      <c r="VJL22" s="9"/>
      <c r="VJP22" s="7"/>
      <c r="VJQ22" s="7"/>
      <c r="VJR22" s="7"/>
      <c r="VJS22" s="9"/>
      <c r="VJT22" s="9"/>
      <c r="VJZ22" s="9"/>
      <c r="VKD22" s="7"/>
      <c r="VKE22" s="7"/>
      <c r="VKF22" s="7"/>
      <c r="VKG22" s="9"/>
      <c r="VKH22" s="9"/>
      <c r="VKN22" s="9"/>
      <c r="VKR22" s="7"/>
      <c r="VKS22" s="7"/>
      <c r="VKT22" s="7"/>
      <c r="VKU22" s="9"/>
      <c r="VKV22" s="9"/>
      <c r="VLB22" s="9"/>
      <c r="VLF22" s="7"/>
      <c r="VLG22" s="7"/>
      <c r="VLH22" s="7"/>
      <c r="VLI22" s="9"/>
      <c r="VLJ22" s="9"/>
      <c r="VLP22" s="9"/>
      <c r="VLT22" s="7"/>
      <c r="VLU22" s="7"/>
      <c r="VLV22" s="7"/>
      <c r="VLW22" s="9"/>
      <c r="VLX22" s="9"/>
      <c r="VMD22" s="9"/>
      <c r="VMH22" s="7"/>
      <c r="VMI22" s="7"/>
      <c r="VMJ22" s="7"/>
      <c r="VMK22" s="9"/>
      <c r="VML22" s="9"/>
      <c r="VMR22" s="9"/>
      <c r="VMV22" s="7"/>
      <c r="VMW22" s="7"/>
      <c r="VMX22" s="7"/>
      <c r="VMY22" s="9"/>
      <c r="VMZ22" s="9"/>
      <c r="VNF22" s="9"/>
      <c r="VNJ22" s="7"/>
      <c r="VNK22" s="7"/>
      <c r="VNL22" s="7"/>
      <c r="VNM22" s="9"/>
      <c r="VNN22" s="9"/>
      <c r="VNT22" s="9"/>
      <c r="VNX22" s="7"/>
      <c r="VNY22" s="7"/>
      <c r="VNZ22" s="7"/>
      <c r="VOA22" s="9"/>
      <c r="VOB22" s="9"/>
      <c r="VOH22" s="9"/>
      <c r="VOL22" s="7"/>
      <c r="VOM22" s="7"/>
      <c r="VON22" s="7"/>
      <c r="VOO22" s="9"/>
      <c r="VOP22" s="9"/>
      <c r="VOV22" s="9"/>
      <c r="VOZ22" s="7"/>
      <c r="VPA22" s="7"/>
      <c r="VPB22" s="7"/>
      <c r="VPC22" s="9"/>
      <c r="VPD22" s="9"/>
      <c r="VPJ22" s="9"/>
      <c r="VPN22" s="7"/>
      <c r="VPO22" s="7"/>
      <c r="VPP22" s="7"/>
      <c r="VPQ22" s="9"/>
      <c r="VPR22" s="9"/>
      <c r="VPX22" s="9"/>
      <c r="VQB22" s="7"/>
      <c r="VQC22" s="7"/>
      <c r="VQD22" s="7"/>
      <c r="VQE22" s="9"/>
      <c r="VQF22" s="9"/>
      <c r="VQL22" s="9"/>
      <c r="VQP22" s="7"/>
      <c r="VQQ22" s="7"/>
      <c r="VQR22" s="7"/>
      <c r="VQS22" s="9"/>
      <c r="VQT22" s="9"/>
      <c r="VQZ22" s="9"/>
      <c r="VRD22" s="7"/>
      <c r="VRE22" s="7"/>
      <c r="VRF22" s="7"/>
      <c r="VRG22" s="9"/>
      <c r="VRH22" s="9"/>
      <c r="VRN22" s="9"/>
      <c r="VRR22" s="7"/>
      <c r="VRS22" s="7"/>
      <c r="VRT22" s="7"/>
      <c r="VRU22" s="9"/>
      <c r="VRV22" s="9"/>
      <c r="VSB22" s="9"/>
      <c r="VSF22" s="7"/>
      <c r="VSG22" s="7"/>
      <c r="VSH22" s="7"/>
      <c r="VSI22" s="9"/>
      <c r="VSJ22" s="9"/>
      <c r="VSP22" s="9"/>
      <c r="VST22" s="7"/>
      <c r="VSU22" s="7"/>
      <c r="VSV22" s="7"/>
      <c r="VSW22" s="9"/>
      <c r="VSX22" s="9"/>
      <c r="VTD22" s="9"/>
      <c r="VTH22" s="7"/>
      <c r="VTI22" s="7"/>
      <c r="VTJ22" s="7"/>
      <c r="VTK22" s="9"/>
      <c r="VTL22" s="9"/>
      <c r="VTR22" s="9"/>
      <c r="VTV22" s="7"/>
      <c r="VTW22" s="7"/>
      <c r="VTX22" s="7"/>
      <c r="VTY22" s="9"/>
      <c r="VTZ22" s="9"/>
      <c r="VUF22" s="9"/>
      <c r="VUJ22" s="7"/>
      <c r="VUK22" s="7"/>
      <c r="VUL22" s="7"/>
      <c r="VUM22" s="9"/>
      <c r="VUN22" s="9"/>
      <c r="VUT22" s="9"/>
      <c r="VUX22" s="7"/>
      <c r="VUY22" s="7"/>
      <c r="VUZ22" s="7"/>
      <c r="VVA22" s="9"/>
      <c r="VVB22" s="9"/>
      <c r="VVH22" s="9"/>
      <c r="VVL22" s="7"/>
      <c r="VVM22" s="7"/>
      <c r="VVN22" s="7"/>
      <c r="VVO22" s="9"/>
      <c r="VVP22" s="9"/>
      <c r="VVV22" s="9"/>
      <c r="VVZ22" s="7"/>
      <c r="VWA22" s="7"/>
      <c r="VWB22" s="7"/>
      <c r="VWC22" s="9"/>
      <c r="VWD22" s="9"/>
      <c r="VWJ22" s="9"/>
      <c r="VWN22" s="7"/>
      <c r="VWO22" s="7"/>
      <c r="VWP22" s="7"/>
      <c r="VWQ22" s="9"/>
      <c r="VWR22" s="9"/>
      <c r="VWX22" s="9"/>
      <c r="VXB22" s="7"/>
      <c r="VXC22" s="7"/>
      <c r="VXD22" s="7"/>
      <c r="VXE22" s="9"/>
      <c r="VXF22" s="9"/>
      <c r="VXL22" s="9"/>
      <c r="VXP22" s="7"/>
      <c r="VXQ22" s="7"/>
      <c r="VXR22" s="7"/>
      <c r="VXS22" s="9"/>
      <c r="VXT22" s="9"/>
      <c r="VXZ22" s="9"/>
      <c r="VYD22" s="7"/>
      <c r="VYE22" s="7"/>
      <c r="VYF22" s="7"/>
      <c r="VYG22" s="9"/>
      <c r="VYH22" s="9"/>
      <c r="VYN22" s="9"/>
      <c r="VYR22" s="7"/>
      <c r="VYS22" s="7"/>
      <c r="VYT22" s="7"/>
      <c r="VYU22" s="9"/>
      <c r="VYV22" s="9"/>
      <c r="VZB22" s="9"/>
      <c r="VZF22" s="7"/>
      <c r="VZG22" s="7"/>
      <c r="VZH22" s="7"/>
      <c r="VZI22" s="9"/>
      <c r="VZJ22" s="9"/>
      <c r="VZP22" s="9"/>
      <c r="VZT22" s="7"/>
      <c r="VZU22" s="7"/>
      <c r="VZV22" s="7"/>
      <c r="VZW22" s="9"/>
      <c r="VZX22" s="9"/>
      <c r="WAD22" s="9"/>
      <c r="WAH22" s="7"/>
      <c r="WAI22" s="7"/>
      <c r="WAJ22" s="7"/>
      <c r="WAK22" s="9"/>
      <c r="WAL22" s="9"/>
      <c r="WAR22" s="9"/>
      <c r="WAV22" s="7"/>
      <c r="WAW22" s="7"/>
      <c r="WAX22" s="7"/>
      <c r="WAY22" s="9"/>
      <c r="WAZ22" s="9"/>
      <c r="WBF22" s="9"/>
      <c r="WBJ22" s="7"/>
      <c r="WBK22" s="7"/>
      <c r="WBL22" s="7"/>
      <c r="WBM22" s="9"/>
      <c r="WBN22" s="9"/>
      <c r="WBT22" s="9"/>
      <c r="WBX22" s="7"/>
      <c r="WBY22" s="7"/>
      <c r="WBZ22" s="7"/>
      <c r="WCA22" s="9"/>
      <c r="WCB22" s="9"/>
      <c r="WCH22" s="9"/>
      <c r="WCL22" s="7"/>
      <c r="WCM22" s="7"/>
      <c r="WCN22" s="7"/>
      <c r="WCO22" s="9"/>
      <c r="WCP22" s="9"/>
      <c r="WCV22" s="9"/>
      <c r="WCZ22" s="7"/>
      <c r="WDA22" s="7"/>
      <c r="WDB22" s="7"/>
      <c r="WDC22" s="9"/>
      <c r="WDD22" s="9"/>
      <c r="WDJ22" s="9"/>
      <c r="WDN22" s="7"/>
      <c r="WDO22" s="7"/>
      <c r="WDP22" s="7"/>
      <c r="WDQ22" s="9"/>
      <c r="WDR22" s="9"/>
      <c r="WDX22" s="9"/>
      <c r="WEB22" s="7"/>
      <c r="WEC22" s="7"/>
      <c r="WED22" s="7"/>
      <c r="WEE22" s="9"/>
      <c r="WEF22" s="9"/>
      <c r="WEL22" s="9"/>
      <c r="WEP22" s="7"/>
      <c r="WEQ22" s="7"/>
      <c r="WER22" s="7"/>
      <c r="WES22" s="9"/>
      <c r="WET22" s="9"/>
      <c r="WEZ22" s="9"/>
      <c r="WFD22" s="7"/>
      <c r="WFE22" s="7"/>
      <c r="WFF22" s="7"/>
      <c r="WFG22" s="9"/>
      <c r="WFH22" s="9"/>
      <c r="WFN22" s="9"/>
      <c r="WFR22" s="7"/>
      <c r="WFS22" s="7"/>
      <c r="WFT22" s="7"/>
      <c r="WFU22" s="9"/>
      <c r="WFV22" s="9"/>
      <c r="WGB22" s="9"/>
      <c r="WGF22" s="7"/>
      <c r="WGG22" s="7"/>
      <c r="WGH22" s="7"/>
      <c r="WGI22" s="9"/>
      <c r="WGJ22" s="9"/>
      <c r="WGP22" s="9"/>
      <c r="WGT22" s="7"/>
      <c r="WGU22" s="7"/>
      <c r="WGV22" s="7"/>
      <c r="WGW22" s="9"/>
      <c r="WGX22" s="9"/>
      <c r="WHD22" s="9"/>
      <c r="WHH22" s="7"/>
      <c r="WHI22" s="7"/>
      <c r="WHJ22" s="7"/>
      <c r="WHK22" s="9"/>
      <c r="WHL22" s="9"/>
      <c r="WHR22" s="9"/>
      <c r="WHV22" s="7"/>
      <c r="WHW22" s="7"/>
      <c r="WHX22" s="7"/>
      <c r="WHY22" s="9"/>
      <c r="WHZ22" s="9"/>
      <c r="WIF22" s="9"/>
      <c r="WIJ22" s="7"/>
      <c r="WIK22" s="7"/>
      <c r="WIL22" s="7"/>
      <c r="WIM22" s="9"/>
      <c r="WIN22" s="9"/>
      <c r="WIT22" s="9"/>
      <c r="WIX22" s="7"/>
      <c r="WIY22" s="7"/>
      <c r="WIZ22" s="7"/>
      <c r="WJA22" s="9"/>
      <c r="WJB22" s="9"/>
      <c r="WJH22" s="9"/>
      <c r="WJL22" s="7"/>
      <c r="WJM22" s="7"/>
      <c r="WJN22" s="7"/>
      <c r="WJO22" s="9"/>
      <c r="WJP22" s="9"/>
      <c r="WJV22" s="9"/>
      <c r="WJZ22" s="7"/>
      <c r="WKA22" s="7"/>
      <c r="WKB22" s="7"/>
      <c r="WKC22" s="9"/>
      <c r="WKD22" s="9"/>
      <c r="WKJ22" s="9"/>
      <c r="WKN22" s="7"/>
      <c r="WKO22" s="7"/>
      <c r="WKP22" s="7"/>
      <c r="WKQ22" s="9"/>
      <c r="WKR22" s="9"/>
      <c r="WKX22" s="9"/>
      <c r="WLB22" s="7"/>
      <c r="WLC22" s="7"/>
      <c r="WLD22" s="7"/>
      <c r="WLE22" s="9"/>
      <c r="WLF22" s="9"/>
      <c r="WLL22" s="9"/>
      <c r="WLP22" s="7"/>
      <c r="WLQ22" s="7"/>
      <c r="WLR22" s="7"/>
      <c r="WLS22" s="9"/>
      <c r="WLT22" s="9"/>
      <c r="WLZ22" s="9"/>
      <c r="WMD22" s="7"/>
      <c r="WME22" s="7"/>
      <c r="WMF22" s="7"/>
      <c r="WMG22" s="9"/>
      <c r="WMH22" s="9"/>
      <c r="WMN22" s="9"/>
      <c r="WMR22" s="7"/>
      <c r="WMS22" s="7"/>
      <c r="WMT22" s="7"/>
      <c r="WMU22" s="9"/>
      <c r="WMV22" s="9"/>
      <c r="WNB22" s="9"/>
      <c r="WNF22" s="7"/>
      <c r="WNG22" s="7"/>
      <c r="WNH22" s="7"/>
      <c r="WNI22" s="9"/>
      <c r="WNJ22" s="9"/>
      <c r="WNP22" s="9"/>
      <c r="WNT22" s="7"/>
      <c r="WNU22" s="7"/>
      <c r="WNV22" s="7"/>
      <c r="WNW22" s="9"/>
      <c r="WNX22" s="9"/>
      <c r="WOD22" s="9"/>
      <c r="WOH22" s="7"/>
      <c r="WOI22" s="7"/>
      <c r="WOJ22" s="7"/>
      <c r="WOK22" s="9"/>
      <c r="WOL22" s="9"/>
      <c r="WOR22" s="9"/>
      <c r="WOV22" s="7"/>
      <c r="WOW22" s="7"/>
      <c r="WOX22" s="7"/>
      <c r="WOY22" s="9"/>
      <c r="WOZ22" s="9"/>
      <c r="WPF22" s="9"/>
      <c r="WPJ22" s="7"/>
      <c r="WPK22" s="7"/>
      <c r="WPL22" s="7"/>
      <c r="WPM22" s="9"/>
      <c r="WPN22" s="9"/>
      <c r="WPT22" s="9"/>
      <c r="WPX22" s="7"/>
      <c r="WPY22" s="7"/>
      <c r="WPZ22" s="7"/>
      <c r="WQA22" s="9"/>
      <c r="WQB22" s="9"/>
      <c r="WQH22" s="9"/>
      <c r="WQL22" s="7"/>
      <c r="WQM22" s="7"/>
      <c r="WQN22" s="7"/>
      <c r="WQO22" s="9"/>
      <c r="WQP22" s="9"/>
      <c r="WQV22" s="9"/>
      <c r="WQZ22" s="7"/>
      <c r="WRA22" s="7"/>
      <c r="WRB22" s="7"/>
      <c r="WRC22" s="9"/>
      <c r="WRD22" s="9"/>
      <c r="WRJ22" s="9"/>
      <c r="WRN22" s="7"/>
      <c r="WRO22" s="7"/>
      <c r="WRP22" s="7"/>
      <c r="WRQ22" s="9"/>
      <c r="WRR22" s="9"/>
      <c r="WRX22" s="9"/>
      <c r="WSB22" s="7"/>
      <c r="WSC22" s="7"/>
      <c r="WSD22" s="7"/>
      <c r="WSE22" s="9"/>
      <c r="WSF22" s="9"/>
      <c r="WSL22" s="9"/>
      <c r="WSP22" s="7"/>
      <c r="WSQ22" s="7"/>
      <c r="WSR22" s="7"/>
      <c r="WSS22" s="9"/>
      <c r="WST22" s="9"/>
      <c r="WSZ22" s="9"/>
      <c r="WTD22" s="7"/>
      <c r="WTE22" s="7"/>
      <c r="WTF22" s="7"/>
      <c r="WTG22" s="9"/>
      <c r="WTH22" s="9"/>
      <c r="WTN22" s="9"/>
      <c r="WTR22" s="7"/>
      <c r="WTS22" s="7"/>
      <c r="WTT22" s="7"/>
      <c r="WTU22" s="9"/>
      <c r="WTV22" s="9"/>
      <c r="WUB22" s="9"/>
      <c r="WUF22" s="7"/>
      <c r="WUG22" s="7"/>
      <c r="WUH22" s="7"/>
      <c r="WUI22" s="9"/>
      <c r="WUJ22" s="9"/>
      <c r="WUP22" s="9"/>
      <c r="WUT22" s="7"/>
      <c r="WUU22" s="7"/>
      <c r="WUV22" s="7"/>
      <c r="WUW22" s="9"/>
      <c r="WUX22" s="9"/>
      <c r="WVD22" s="9"/>
      <c r="WVH22" s="7"/>
      <c r="WVI22" s="7"/>
      <c r="WVJ22" s="7"/>
      <c r="WVK22" s="9"/>
      <c r="WVL22" s="9"/>
      <c r="WVR22" s="9"/>
      <c r="WVV22" s="7"/>
      <c r="WVW22" s="7"/>
      <c r="WVX22" s="7"/>
      <c r="WVY22" s="9"/>
      <c r="WVZ22" s="9"/>
      <c r="WWF22" s="9"/>
      <c r="WWJ22" s="7"/>
      <c r="WWK22" s="7"/>
      <c r="WWL22" s="7"/>
      <c r="WWM22" s="9"/>
      <c r="WWN22" s="9"/>
      <c r="WWT22" s="9"/>
      <c r="WWX22" s="7"/>
      <c r="WWY22" s="7"/>
      <c r="WWZ22" s="7"/>
      <c r="WXA22" s="9"/>
      <c r="WXB22" s="9"/>
      <c r="WXH22" s="9"/>
      <c r="WXL22" s="7"/>
      <c r="WXM22" s="7"/>
      <c r="WXN22" s="7"/>
      <c r="WXO22" s="9"/>
      <c r="WXP22" s="9"/>
      <c r="WXV22" s="9"/>
      <c r="WXZ22" s="7"/>
      <c r="WYA22" s="7"/>
      <c r="WYB22" s="7"/>
      <c r="WYC22" s="9"/>
      <c r="WYD22" s="9"/>
      <c r="WYJ22" s="9"/>
      <c r="WYN22" s="7"/>
      <c r="WYO22" s="7"/>
      <c r="WYP22" s="7"/>
      <c r="WYQ22" s="9"/>
      <c r="WYR22" s="9"/>
      <c r="WYX22" s="9"/>
      <c r="WZB22" s="7"/>
      <c r="WZC22" s="7"/>
      <c r="WZD22" s="7"/>
      <c r="WZE22" s="9"/>
      <c r="WZF22" s="9"/>
      <c r="WZL22" s="9"/>
      <c r="WZP22" s="7"/>
      <c r="WZQ22" s="7"/>
      <c r="WZR22" s="7"/>
      <c r="WZS22" s="9"/>
      <c r="WZT22" s="9"/>
      <c r="WZZ22" s="9"/>
      <c r="XAD22" s="7"/>
      <c r="XAE22" s="7"/>
      <c r="XAF22" s="7"/>
      <c r="XAG22" s="9"/>
      <c r="XAH22" s="9"/>
      <c r="XAN22" s="9"/>
      <c r="XAR22" s="7"/>
      <c r="XAS22" s="7"/>
      <c r="XAT22" s="7"/>
      <c r="XAU22" s="9"/>
      <c r="XAV22" s="9"/>
      <c r="XBB22" s="9"/>
      <c r="XBF22" s="7"/>
      <c r="XBG22" s="7"/>
      <c r="XBH22" s="7"/>
      <c r="XBI22" s="9"/>
      <c r="XBJ22" s="9"/>
      <c r="XBP22" s="9"/>
      <c r="XBT22" s="7"/>
      <c r="XBU22" s="7"/>
      <c r="XBV22" s="7"/>
      <c r="XBW22" s="9"/>
      <c r="XBX22" s="9"/>
      <c r="XCD22" s="9"/>
      <c r="XCH22" s="7"/>
      <c r="XCI22" s="7"/>
      <c r="XCJ22" s="7"/>
      <c r="XCK22" s="9"/>
      <c r="XCL22" s="9"/>
      <c r="XCR22" s="9"/>
      <c r="XCV22" s="7"/>
      <c r="XCW22" s="7"/>
      <c r="XCX22" s="7"/>
      <c r="XCY22" s="9"/>
      <c r="XCZ22" s="9"/>
      <c r="XDF22" s="9"/>
      <c r="XDJ22" s="7"/>
      <c r="XDK22" s="7"/>
      <c r="XDL22" s="7"/>
      <c r="XDM22" s="9"/>
      <c r="XDN22" s="9"/>
      <c r="XDT22" s="9"/>
      <c r="XDX22" s="7"/>
      <c r="XDY22" s="7"/>
      <c r="XDZ22" s="7"/>
      <c r="XEA22" s="9"/>
      <c r="XEB22" s="9"/>
      <c r="XEH22" s="9"/>
      <c r="XEL22" s="7"/>
      <c r="XEM22" s="7"/>
      <c r="XEN22" s="7"/>
      <c r="XEO22" s="9"/>
      <c r="XEP22" s="9"/>
      <c r="XEV22" s="9"/>
      <c r="XEZ22" s="7"/>
      <c r="XFA22" s="7"/>
      <c r="XFB22" s="7"/>
      <c r="XFC22" s="9"/>
      <c r="XFD22" s="9"/>
    </row>
    <row r="23" spans="1:2048 2054:3070 3076:4092 4098:5120 5124:6142 6146:9216 9222:10238 10244:11260 11266:12288 12292:13310 13314:16384" x14ac:dyDescent="0.25">
      <c r="A23" s="8">
        <v>260700010</v>
      </c>
      <c r="B23" s="8" t="s">
        <v>17</v>
      </c>
      <c r="C23" s="8" t="s">
        <v>22</v>
      </c>
      <c r="D23" s="8" t="s">
        <v>411</v>
      </c>
      <c r="E23" s="9">
        <v>46247</v>
      </c>
      <c r="F23" s="8">
        <v>20225253529</v>
      </c>
      <c r="G23" s="8" t="s">
        <v>134</v>
      </c>
      <c r="H23" s="8" t="s">
        <v>27</v>
      </c>
      <c r="I23" s="7">
        <v>537.24</v>
      </c>
      <c r="J23" s="7">
        <v>64.47</v>
      </c>
      <c r="K23" s="7">
        <v>472.77</v>
      </c>
      <c r="L23" s="9"/>
      <c r="M23" s="9"/>
      <c r="N23" s="8" t="s">
        <v>412</v>
      </c>
      <c r="O23" s="8">
        <v>455.29</v>
      </c>
      <c r="P23" s="8">
        <v>81.95</v>
      </c>
      <c r="Q23" s="8" t="s">
        <v>551</v>
      </c>
      <c r="R23" s="17" t="s">
        <v>552</v>
      </c>
      <c r="S23" s="8">
        <v>217</v>
      </c>
    </row>
    <row r="24" spans="1:2048 2054:3070 3076:4092 4098:5120 5124:6142 6146:9216 9222:10238 10244:11260 11266:12288 12292:13310 13314:16384" x14ac:dyDescent="0.25">
      <c r="B24" t="s">
        <v>15</v>
      </c>
      <c r="C24" t="s">
        <v>7</v>
      </c>
      <c r="D24" t="s">
        <v>249</v>
      </c>
      <c r="E24" s="2">
        <f>DATE(2026,8,7)</f>
        <v>46241</v>
      </c>
      <c r="F24">
        <v>10408744151</v>
      </c>
      <c r="G24" t="s">
        <v>250</v>
      </c>
      <c r="H24" t="s">
        <v>11</v>
      </c>
      <c r="I24" s="1">
        <v>1025</v>
      </c>
      <c r="J24" s="1"/>
      <c r="K24" s="1">
        <f>+I24-J24</f>
        <v>1025</v>
      </c>
      <c r="L24" s="2">
        <f>DATE(2026,8,7)</f>
        <v>46241</v>
      </c>
      <c r="M24" s="2" t="s">
        <v>251</v>
      </c>
      <c r="N24" t="s">
        <v>257</v>
      </c>
      <c r="O24">
        <v>1025</v>
      </c>
      <c r="P24">
        <v>0</v>
      </c>
      <c r="Q24" t="s">
        <v>7</v>
      </c>
      <c r="R24" s="22" t="s">
        <v>557</v>
      </c>
    </row>
    <row r="25" spans="1:2048 2054:3070 3076:4092 4098:5120 5124:6142 6146:9216 9222:10238 10244:11260 11266:12288 12292:13310 13314:16384" x14ac:dyDescent="0.25">
      <c r="B25" t="s">
        <v>15</v>
      </c>
      <c r="C25" t="s">
        <v>7</v>
      </c>
      <c r="D25" t="s">
        <v>258</v>
      </c>
      <c r="E25" s="2">
        <f>DATE(2026,8,10)</f>
        <v>46244</v>
      </c>
      <c r="F25">
        <v>10408744151</v>
      </c>
      <c r="G25" t="s">
        <v>250</v>
      </c>
      <c r="H25" t="s">
        <v>11</v>
      </c>
      <c r="I25" s="1">
        <v>1025</v>
      </c>
      <c r="J25" s="1"/>
      <c r="K25" s="1">
        <v>1025</v>
      </c>
      <c r="L25" s="2">
        <f>DATE(2026,8,10)</f>
        <v>46244</v>
      </c>
      <c r="M25" s="2"/>
      <c r="N25" t="s">
        <v>259</v>
      </c>
      <c r="O25">
        <v>1025</v>
      </c>
      <c r="P25">
        <v>0</v>
      </c>
      <c r="Q25" t="s">
        <v>7</v>
      </c>
      <c r="R25" s="22" t="s">
        <v>557</v>
      </c>
    </row>
    <row r="26" spans="1:2048 2054:3070 3076:4092 4098:5120 5124:6142 6146:9216 9222:10238 10244:11260 11266:12288 12292:13310 13314:16384" x14ac:dyDescent="0.25">
      <c r="B26" t="s">
        <v>15</v>
      </c>
      <c r="C26" t="s">
        <v>7</v>
      </c>
      <c r="D26" t="s">
        <v>260</v>
      </c>
      <c r="E26" s="2">
        <f>DATE(2026,8,10)</f>
        <v>46244</v>
      </c>
      <c r="F26">
        <v>10408744151</v>
      </c>
      <c r="G26" t="s">
        <v>250</v>
      </c>
      <c r="H26" t="s">
        <v>11</v>
      </c>
      <c r="I26" s="1">
        <v>1025</v>
      </c>
      <c r="J26" s="1"/>
      <c r="K26" s="1">
        <v>1025</v>
      </c>
      <c r="L26" s="2">
        <f>DATE(2026,8,10)</f>
        <v>46244</v>
      </c>
      <c r="M26" s="2"/>
      <c r="N26" t="s">
        <v>261</v>
      </c>
      <c r="O26">
        <v>1025</v>
      </c>
      <c r="P26">
        <v>0</v>
      </c>
      <c r="Q26" t="s">
        <v>7</v>
      </c>
      <c r="R26" s="22" t="s">
        <v>557</v>
      </c>
    </row>
    <row r="27" spans="1:2048 2054:3070 3076:4092 4098:5120 5124:6142 6146:9216 9222:10238 10244:11260 11266:12288 12292:13310 13314:16384" x14ac:dyDescent="0.25">
      <c r="B27" t="s">
        <v>15</v>
      </c>
      <c r="C27" t="s">
        <v>7</v>
      </c>
      <c r="D27" t="s">
        <v>262</v>
      </c>
      <c r="E27" s="2">
        <f>DATE(2026,8,10)</f>
        <v>46244</v>
      </c>
      <c r="F27">
        <v>10408744151</v>
      </c>
      <c r="G27" t="s">
        <v>250</v>
      </c>
      <c r="H27" t="s">
        <v>11</v>
      </c>
      <c r="I27" s="1">
        <v>1025</v>
      </c>
      <c r="J27" s="1"/>
      <c r="K27" s="1">
        <v>1025</v>
      </c>
      <c r="L27" s="2">
        <f>DATE(2026,8,10)</f>
        <v>46244</v>
      </c>
      <c r="M27" s="2"/>
      <c r="N27" t="s">
        <v>263</v>
      </c>
      <c r="O27">
        <v>1025</v>
      </c>
      <c r="P27">
        <v>0</v>
      </c>
      <c r="Q27" t="s">
        <v>7</v>
      </c>
      <c r="R27" s="22" t="s">
        <v>557</v>
      </c>
    </row>
    <row r="28" spans="1:2048 2054:3070 3076:4092 4098:5120 5124:6142 6146:9216 9222:10238 10244:11260 11266:12288 12292:13310 13314:16384" x14ac:dyDescent="0.25">
      <c r="B28" t="s">
        <v>15</v>
      </c>
      <c r="C28" t="s">
        <v>7</v>
      </c>
      <c r="D28" t="s">
        <v>264</v>
      </c>
      <c r="E28" s="2">
        <f>DATE(2026,8,10)</f>
        <v>46244</v>
      </c>
      <c r="F28">
        <v>10408744151</v>
      </c>
      <c r="G28" t="s">
        <v>250</v>
      </c>
      <c r="H28" t="s">
        <v>11</v>
      </c>
      <c r="I28" s="1">
        <v>1025</v>
      </c>
      <c r="J28" s="1"/>
      <c r="K28" s="1">
        <v>1025</v>
      </c>
      <c r="L28" s="2">
        <f>DATE(2026,8,10)</f>
        <v>46244</v>
      </c>
      <c r="M28" s="2"/>
      <c r="N28" t="s">
        <v>265</v>
      </c>
      <c r="O28">
        <v>1025</v>
      </c>
      <c r="P28">
        <v>0</v>
      </c>
      <c r="Q28" t="s">
        <v>7</v>
      </c>
      <c r="R28" s="22" t="s">
        <v>557</v>
      </c>
    </row>
    <row r="29" spans="1:2048 2054:3070 3076:4092 4098:5120 5124:6142 6146:9216 9222:10238 10244:11260 11266:12288 12292:13310 13314:16384" x14ac:dyDescent="0.25">
      <c r="A29">
        <v>260700010</v>
      </c>
      <c r="B29" t="s">
        <v>17</v>
      </c>
      <c r="C29" t="s">
        <v>22</v>
      </c>
      <c r="D29" t="s">
        <v>276</v>
      </c>
      <c r="E29" s="2">
        <f>DATE(2026,8,10)</f>
        <v>46244</v>
      </c>
      <c r="F29">
        <v>20452235073</v>
      </c>
      <c r="G29" t="s">
        <v>277</v>
      </c>
      <c r="H29" t="s">
        <v>27</v>
      </c>
      <c r="I29" s="1">
        <v>322.14</v>
      </c>
      <c r="J29" s="1">
        <f>+Tabla1[[#This Row],[Importe]]*0.12</f>
        <v>38.656799999999997</v>
      </c>
      <c r="K29" s="1">
        <f>+Tabla1[[#This Row],[Importe]]-Tabla1[[#This Row],[Detracción]]</f>
        <v>283.48320000000001</v>
      </c>
      <c r="L29" s="2">
        <f>DATE(2026,8,10)</f>
        <v>46244</v>
      </c>
      <c r="M29" s="2"/>
      <c r="N29" t="s">
        <v>278</v>
      </c>
      <c r="O29">
        <v>273</v>
      </c>
      <c r="P29">
        <v>49.14</v>
      </c>
      <c r="Q29" t="s">
        <v>551</v>
      </c>
      <c r="R29" s="22" t="s">
        <v>552</v>
      </c>
      <c r="S29">
        <v>131.1</v>
      </c>
    </row>
    <row r="30" spans="1:2048 2054:3070 3076:4092 4098:5120 5124:6142 6146:9216 9222:10238 10244:11260 11266:12288 12292:13310 13314:16384" x14ac:dyDescent="0.25">
      <c r="B30" t="s">
        <v>17</v>
      </c>
      <c r="C30" t="s">
        <v>7</v>
      </c>
      <c r="D30" t="s">
        <v>384</v>
      </c>
      <c r="E30" s="2">
        <v>46248</v>
      </c>
      <c r="F30">
        <v>10239541181</v>
      </c>
      <c r="G30" t="s">
        <v>385</v>
      </c>
      <c r="H30" t="s">
        <v>27</v>
      </c>
      <c r="I30" s="1">
        <v>65</v>
      </c>
      <c r="J30" s="1">
        <f>+Tabla1[[#This Row],[Importe]]*0.12</f>
        <v>7.8</v>
      </c>
      <c r="K30" s="1">
        <v>65</v>
      </c>
      <c r="L30" s="2"/>
      <c r="M30" s="2"/>
      <c r="N30" t="s">
        <v>386</v>
      </c>
      <c r="O30">
        <v>65</v>
      </c>
      <c r="P30">
        <v>0</v>
      </c>
      <c r="Q30" t="s">
        <v>7</v>
      </c>
      <c r="R30" s="22" t="s">
        <v>557</v>
      </c>
    </row>
    <row r="31" spans="1:2048 2054:3070 3076:4092 4098:5120 5124:6142 6146:9216 9222:10238 10244:11260 11266:12288 12292:13310 13314:16384" hidden="1" x14ac:dyDescent="0.25">
      <c r="A31">
        <v>260500005</v>
      </c>
      <c r="B31" t="s">
        <v>17</v>
      </c>
      <c r="C31" t="s">
        <v>7</v>
      </c>
      <c r="D31" t="s">
        <v>116</v>
      </c>
      <c r="E31" s="2">
        <f>DATE(2026,5,26)</f>
        <v>46168</v>
      </c>
      <c r="F31">
        <v>10239541181</v>
      </c>
      <c r="G31" t="s">
        <v>117</v>
      </c>
      <c r="H31" t="s">
        <v>27</v>
      </c>
      <c r="I31" s="1">
        <v>65</v>
      </c>
      <c r="J31" s="1"/>
      <c r="K31" s="1">
        <f>+I31-J31</f>
        <v>65</v>
      </c>
      <c r="L31" s="2">
        <f>DATE(2026,5,26)</f>
        <v>46168</v>
      </c>
      <c r="M31" s="2"/>
      <c r="N31" t="s">
        <v>118</v>
      </c>
    </row>
    <row r="32" spans="1:2048 2054:3070 3076:4092 4098:5120 5124:6142 6146:9216 9222:10238 10244:11260 11266:12288 12292:13310 13314:16384" hidden="1" x14ac:dyDescent="0.25">
      <c r="A32">
        <v>260500002</v>
      </c>
      <c r="B32" t="s">
        <v>17</v>
      </c>
      <c r="C32" t="s">
        <v>7</v>
      </c>
      <c r="D32" t="s">
        <v>119</v>
      </c>
      <c r="E32" s="2">
        <f>DATE(2026,5,26)</f>
        <v>46168</v>
      </c>
      <c r="F32">
        <v>10239541181</v>
      </c>
      <c r="G32" t="s">
        <v>117</v>
      </c>
      <c r="H32" t="s">
        <v>27</v>
      </c>
      <c r="I32" s="1">
        <v>65</v>
      </c>
      <c r="J32" s="1"/>
      <c r="K32" s="1">
        <f>+I32-J32</f>
        <v>65</v>
      </c>
      <c r="L32" s="2">
        <f>DATE(2026,5,26)</f>
        <v>46168</v>
      </c>
      <c r="M32" s="2"/>
      <c r="N32" t="s">
        <v>120</v>
      </c>
    </row>
    <row r="33" spans="1:19" hidden="1" x14ac:dyDescent="0.25">
      <c r="A33">
        <v>260800005</v>
      </c>
      <c r="B33" t="s">
        <v>17</v>
      </c>
      <c r="C33" t="s">
        <v>22</v>
      </c>
      <c r="D33" t="s">
        <v>300</v>
      </c>
      <c r="E33" s="2">
        <f>DATE(2026,4,16)</f>
        <v>46128</v>
      </c>
      <c r="F33">
        <v>20358309870</v>
      </c>
      <c r="G33" t="s">
        <v>241</v>
      </c>
      <c r="H33" t="s">
        <v>27</v>
      </c>
      <c r="I33" s="1">
        <v>1449.63</v>
      </c>
      <c r="J33" s="1">
        <v>173.96</v>
      </c>
      <c r="K33" s="1">
        <v>1275.67</v>
      </c>
      <c r="L33" s="2">
        <f>DATE(2026,4,16)</f>
        <v>46128</v>
      </c>
      <c r="M33" s="2" t="s">
        <v>382</v>
      </c>
      <c r="N33" t="s">
        <v>301</v>
      </c>
    </row>
    <row r="34" spans="1:19" hidden="1" x14ac:dyDescent="0.25">
      <c r="A34" s="8">
        <v>260700005</v>
      </c>
      <c r="B34" s="8" t="s">
        <v>17</v>
      </c>
      <c r="C34" s="8" t="s">
        <v>22</v>
      </c>
      <c r="D34" s="8" t="s">
        <v>243</v>
      </c>
      <c r="E34" s="9">
        <f>DATE(2026,7,13)</f>
        <v>46216</v>
      </c>
      <c r="F34" s="8">
        <v>20358309870</v>
      </c>
      <c r="G34" s="8" t="s">
        <v>241</v>
      </c>
      <c r="H34" s="8" t="s">
        <v>27</v>
      </c>
      <c r="I34" s="7">
        <v>70.8</v>
      </c>
      <c r="J34" s="7"/>
      <c r="K34" s="7">
        <v>70.8</v>
      </c>
      <c r="L34" s="9">
        <f>DATE(2026,7,17)</f>
        <v>46220</v>
      </c>
      <c r="M34" s="9" t="s">
        <v>381</v>
      </c>
      <c r="N34" s="8" t="s">
        <v>244</v>
      </c>
      <c r="O34" s="8"/>
      <c r="P34" s="8"/>
      <c r="Q34" s="8"/>
      <c r="R34" s="8"/>
      <c r="S34" s="8"/>
    </row>
    <row r="35" spans="1:19" x14ac:dyDescent="0.25">
      <c r="A35" s="8">
        <v>260700009</v>
      </c>
      <c r="B35" s="8" t="s">
        <v>17</v>
      </c>
      <c r="C35" s="8" t="s">
        <v>22</v>
      </c>
      <c r="D35" s="8" t="s">
        <v>304</v>
      </c>
      <c r="E35" s="9">
        <f>DATE(2026,8,8)</f>
        <v>46242</v>
      </c>
      <c r="F35" s="8">
        <v>20358309870</v>
      </c>
      <c r="G35" s="8" t="s">
        <v>241</v>
      </c>
      <c r="H35" s="8" t="s">
        <v>27</v>
      </c>
      <c r="I35" s="7">
        <v>522.03</v>
      </c>
      <c r="J35" s="7">
        <v>62.64</v>
      </c>
      <c r="K35" s="7">
        <v>459.39</v>
      </c>
      <c r="L35" s="9">
        <f>DATE(2026,8,14)</f>
        <v>46248</v>
      </c>
      <c r="M35" s="9" t="s">
        <v>381</v>
      </c>
      <c r="N35" s="8" t="s">
        <v>305</v>
      </c>
      <c r="O35" s="8">
        <v>442.4</v>
      </c>
      <c r="P35" s="8">
        <v>79.63</v>
      </c>
      <c r="Q35" s="8" t="s">
        <v>551</v>
      </c>
      <c r="R35" s="17" t="s">
        <v>552</v>
      </c>
      <c r="S35" s="8">
        <v>212.4</v>
      </c>
    </row>
    <row r="36" spans="1:19" hidden="1" x14ac:dyDescent="0.25">
      <c r="A36">
        <v>260700019</v>
      </c>
      <c r="B36" t="s">
        <v>17</v>
      </c>
      <c r="C36" t="s">
        <v>22</v>
      </c>
      <c r="D36" t="s">
        <v>302</v>
      </c>
      <c r="E36" s="2">
        <f>DATE(2026,7,15)</f>
        <v>46218</v>
      </c>
      <c r="F36">
        <v>20358309870</v>
      </c>
      <c r="G36" t="s">
        <v>241</v>
      </c>
      <c r="H36" t="s">
        <v>27</v>
      </c>
      <c r="I36" s="1">
        <v>188.45</v>
      </c>
      <c r="J36" s="1"/>
      <c r="K36" s="1">
        <v>188.45</v>
      </c>
      <c r="L36" s="2">
        <f>DATE(2026,7,23)</f>
        <v>46226</v>
      </c>
      <c r="M36" s="2"/>
      <c r="N36" t="s">
        <v>303</v>
      </c>
    </row>
    <row r="37" spans="1:19" hidden="1" x14ac:dyDescent="0.25">
      <c r="A37">
        <v>260700008</v>
      </c>
      <c r="B37" t="s">
        <v>17</v>
      </c>
      <c r="C37" t="s">
        <v>22</v>
      </c>
      <c r="D37" t="s">
        <v>240</v>
      </c>
      <c r="E37" s="2">
        <f>DATE(2026,7,20)</f>
        <v>46223</v>
      </c>
      <c r="F37">
        <v>20358309870</v>
      </c>
      <c r="G37" t="s">
        <v>241</v>
      </c>
      <c r="H37" t="s">
        <v>27</v>
      </c>
      <c r="I37" s="1">
        <v>56.64</v>
      </c>
      <c r="J37" s="1"/>
      <c r="K37" s="1">
        <v>56.64</v>
      </c>
      <c r="L37" s="2">
        <f>DATE(2026,7,24)</f>
        <v>46227</v>
      </c>
      <c r="M37" s="2"/>
      <c r="N37" t="s">
        <v>242</v>
      </c>
    </row>
    <row r="38" spans="1:19" x14ac:dyDescent="0.25">
      <c r="A38">
        <v>260700009</v>
      </c>
      <c r="B38" t="s">
        <v>17</v>
      </c>
      <c r="C38" t="s">
        <v>22</v>
      </c>
      <c r="D38" t="s">
        <v>268</v>
      </c>
      <c r="E38" s="2">
        <f>DATE(2026,8,8)</f>
        <v>46242</v>
      </c>
      <c r="F38">
        <v>20358309870</v>
      </c>
      <c r="G38" t="s">
        <v>241</v>
      </c>
      <c r="H38" t="s">
        <v>27</v>
      </c>
      <c r="I38" s="1">
        <v>380.43</v>
      </c>
      <c r="J38" s="1">
        <v>45.65</v>
      </c>
      <c r="K38" s="1">
        <v>334.78</v>
      </c>
      <c r="L38" s="2">
        <f>DATE(2026,8,14)</f>
        <v>46248</v>
      </c>
      <c r="M38" s="2"/>
      <c r="N38" t="s">
        <v>269</v>
      </c>
      <c r="O38">
        <v>322.39999999999998</v>
      </c>
      <c r="P38">
        <v>58.03</v>
      </c>
      <c r="Q38" t="s">
        <v>551</v>
      </c>
      <c r="R38" s="22" t="s">
        <v>552</v>
      </c>
      <c r="S38">
        <v>154.80000000000001</v>
      </c>
    </row>
    <row r="39" spans="1:19" x14ac:dyDescent="0.25">
      <c r="A39" s="8">
        <v>260700017</v>
      </c>
      <c r="B39" s="8" t="s">
        <v>17</v>
      </c>
      <c r="C39" s="8" t="s">
        <v>22</v>
      </c>
      <c r="D39" s="8" t="s">
        <v>306</v>
      </c>
      <c r="E39" s="9">
        <f>DATE(2026,8,8)</f>
        <v>46242</v>
      </c>
      <c r="F39" s="8">
        <v>20358309870</v>
      </c>
      <c r="G39" s="8" t="s">
        <v>241</v>
      </c>
      <c r="H39" s="8" t="s">
        <v>27</v>
      </c>
      <c r="I39" s="7">
        <v>291.95</v>
      </c>
      <c r="J39" s="7">
        <v>35.03</v>
      </c>
      <c r="K39" s="7">
        <v>256.92</v>
      </c>
      <c r="L39" s="9">
        <f>DATE(2026,8,14)</f>
        <v>46248</v>
      </c>
      <c r="M39" s="9"/>
      <c r="N39" s="8" t="s">
        <v>307</v>
      </c>
      <c r="O39" s="8">
        <v>247.42</v>
      </c>
      <c r="P39" s="8">
        <v>44.53</v>
      </c>
      <c r="Q39" s="8" t="s">
        <v>551</v>
      </c>
      <c r="R39" s="17" t="s">
        <v>552</v>
      </c>
      <c r="S39" s="8">
        <v>118.8</v>
      </c>
    </row>
    <row r="40" spans="1:19" hidden="1" x14ac:dyDescent="0.25">
      <c r="A40">
        <v>260400004</v>
      </c>
      <c r="B40" t="s">
        <v>17</v>
      </c>
      <c r="C40" t="s">
        <v>22</v>
      </c>
      <c r="D40" s="5" t="s">
        <v>25</v>
      </c>
      <c r="E40" s="2">
        <v>46146</v>
      </c>
      <c r="F40">
        <v>20358309870</v>
      </c>
      <c r="G40" t="s">
        <v>26</v>
      </c>
      <c r="H40" t="s">
        <v>27</v>
      </c>
      <c r="I40" s="1">
        <v>36.25</v>
      </c>
      <c r="J40" s="1"/>
      <c r="K40" s="1">
        <f>+I40-J40</f>
        <v>36.25</v>
      </c>
      <c r="L40" s="2">
        <v>46146</v>
      </c>
      <c r="M40" s="2"/>
      <c r="N40" t="s">
        <v>28</v>
      </c>
    </row>
    <row r="41" spans="1:19" hidden="1" x14ac:dyDescent="0.25">
      <c r="A41" s="8">
        <v>260500017</v>
      </c>
      <c r="B41" s="8" t="s">
        <v>17</v>
      </c>
      <c r="C41" s="8" t="s">
        <v>22</v>
      </c>
      <c r="D41" s="8" t="s">
        <v>29</v>
      </c>
      <c r="E41" s="9">
        <v>46191</v>
      </c>
      <c r="F41" s="8">
        <v>20358309870</v>
      </c>
      <c r="G41" s="8" t="s">
        <v>26</v>
      </c>
      <c r="H41" s="8" t="s">
        <v>27</v>
      </c>
      <c r="I41" s="7">
        <v>421.4</v>
      </c>
      <c r="J41" s="7">
        <v>50.567999999999998</v>
      </c>
      <c r="K41" s="7">
        <f>+I41-J41</f>
        <v>370.83199999999999</v>
      </c>
      <c r="L41" s="9">
        <v>46191</v>
      </c>
      <c r="M41" s="9" t="s">
        <v>381</v>
      </c>
      <c r="N41" s="8" t="s">
        <v>30</v>
      </c>
      <c r="O41" s="8"/>
      <c r="P41" s="8"/>
      <c r="Q41" s="8"/>
      <c r="R41" s="8"/>
      <c r="S41" s="8"/>
    </row>
    <row r="42" spans="1:19" hidden="1" x14ac:dyDescent="0.25">
      <c r="A42" s="8">
        <v>260700009</v>
      </c>
      <c r="B42" s="8" t="s">
        <v>17</v>
      </c>
      <c r="C42" s="8" t="s">
        <v>22</v>
      </c>
      <c r="D42" s="8" t="s">
        <v>33</v>
      </c>
      <c r="E42" s="9">
        <v>46223</v>
      </c>
      <c r="F42" s="8">
        <v>20358309870</v>
      </c>
      <c r="G42" s="8" t="s">
        <v>26</v>
      </c>
      <c r="H42" s="8" t="s">
        <v>27</v>
      </c>
      <c r="I42" s="7">
        <v>1955.14</v>
      </c>
      <c r="J42" s="7">
        <v>234.61680000000001</v>
      </c>
      <c r="K42" s="7">
        <f>+I42-J42</f>
        <v>1720.5232000000001</v>
      </c>
      <c r="L42" s="9">
        <v>46223</v>
      </c>
      <c r="M42" s="9" t="s">
        <v>381</v>
      </c>
      <c r="N42" s="8" t="s">
        <v>34</v>
      </c>
      <c r="O42" s="8"/>
      <c r="P42" s="8"/>
      <c r="Q42" s="8"/>
      <c r="R42" s="8"/>
      <c r="S42" s="8"/>
    </row>
    <row r="43" spans="1:19" hidden="1" x14ac:dyDescent="0.25">
      <c r="A43">
        <v>260600001</v>
      </c>
      <c r="B43" t="s">
        <v>17</v>
      </c>
      <c r="C43" t="s">
        <v>22</v>
      </c>
      <c r="D43" t="s">
        <v>31</v>
      </c>
      <c r="E43" s="2">
        <v>46182</v>
      </c>
      <c r="F43">
        <v>20358309870</v>
      </c>
      <c r="G43" t="s">
        <v>26</v>
      </c>
      <c r="H43" t="s">
        <v>27</v>
      </c>
      <c r="I43" s="1">
        <v>188.8</v>
      </c>
      <c r="J43" s="1"/>
      <c r="K43" s="1">
        <f>+I43-J43</f>
        <v>188.8</v>
      </c>
      <c r="L43" s="2">
        <v>46182</v>
      </c>
      <c r="M43" s="2"/>
      <c r="N43" t="s">
        <v>32</v>
      </c>
    </row>
    <row r="44" spans="1:19" x14ac:dyDescent="0.25">
      <c r="A44" s="8">
        <v>260800007</v>
      </c>
      <c r="B44" s="8" t="s">
        <v>17</v>
      </c>
      <c r="C44" s="8" t="s">
        <v>7</v>
      </c>
      <c r="D44" s="8" t="s">
        <v>461</v>
      </c>
      <c r="E44" s="9">
        <f>DATE(2026,8,18)</f>
        <v>46252</v>
      </c>
      <c r="F44" s="8">
        <v>10408222490</v>
      </c>
      <c r="G44" s="8" t="s">
        <v>462</v>
      </c>
      <c r="H44" s="8" t="s">
        <v>27</v>
      </c>
      <c r="I44" s="7">
        <v>60</v>
      </c>
      <c r="J44" s="7"/>
      <c r="K44" s="7">
        <v>60</v>
      </c>
      <c r="L44" s="9">
        <f>DATE(2026,8,18)</f>
        <v>46252</v>
      </c>
      <c r="M44" s="9"/>
      <c r="N44" s="8" t="s">
        <v>463</v>
      </c>
      <c r="O44" s="8">
        <v>60</v>
      </c>
      <c r="P44" s="8">
        <v>0</v>
      </c>
      <c r="Q44" s="8" t="s">
        <v>7</v>
      </c>
      <c r="R44" s="17" t="s">
        <v>557</v>
      </c>
      <c r="S44" s="8"/>
    </row>
    <row r="45" spans="1:19" hidden="1" x14ac:dyDescent="0.25">
      <c r="A45">
        <v>260700009</v>
      </c>
      <c r="B45" t="s">
        <v>17</v>
      </c>
      <c r="C45" t="s">
        <v>294</v>
      </c>
      <c r="D45" t="s">
        <v>295</v>
      </c>
      <c r="E45" s="2">
        <f>DATE(2026,7,31)</f>
        <v>46234</v>
      </c>
      <c r="F45">
        <v>10214605606</v>
      </c>
      <c r="G45" t="s">
        <v>47</v>
      </c>
      <c r="H45" t="s">
        <v>11</v>
      </c>
      <c r="I45" s="1">
        <v>507</v>
      </c>
      <c r="J45" s="1"/>
      <c r="K45" s="1">
        <v>507</v>
      </c>
      <c r="L45" s="2">
        <f>DATE(2026,7,31)</f>
        <v>46234</v>
      </c>
      <c r="M45" s="2"/>
      <c r="N45" t="s">
        <v>296</v>
      </c>
    </row>
    <row r="46" spans="1:19" x14ac:dyDescent="0.25">
      <c r="A46">
        <v>260700009</v>
      </c>
      <c r="B46" t="s">
        <v>17</v>
      </c>
      <c r="C46" t="s">
        <v>7</v>
      </c>
      <c r="D46" t="s">
        <v>46</v>
      </c>
      <c r="E46" s="2">
        <v>46238</v>
      </c>
      <c r="F46">
        <v>10214605606</v>
      </c>
      <c r="G46" t="s">
        <v>47</v>
      </c>
      <c r="H46" t="s">
        <v>27</v>
      </c>
      <c r="I46" s="1">
        <v>400</v>
      </c>
      <c r="J46" s="1"/>
      <c r="K46" s="1">
        <f>+I46-J46</f>
        <v>400</v>
      </c>
      <c r="L46" s="2">
        <v>46238</v>
      </c>
      <c r="M46" s="2"/>
      <c r="N46" t="s">
        <v>48</v>
      </c>
      <c r="O46">
        <v>400</v>
      </c>
      <c r="P46">
        <v>0</v>
      </c>
      <c r="Q46" t="s">
        <v>7</v>
      </c>
      <c r="R46" s="22" t="s">
        <v>557</v>
      </c>
    </row>
    <row r="47" spans="1:19" x14ac:dyDescent="0.25">
      <c r="A47">
        <v>260800007</v>
      </c>
      <c r="B47" t="s">
        <v>17</v>
      </c>
      <c r="C47" t="s">
        <v>22</v>
      </c>
      <c r="D47" t="s">
        <v>397</v>
      </c>
      <c r="E47" s="2">
        <v>46250</v>
      </c>
      <c r="F47">
        <v>20503909007</v>
      </c>
      <c r="G47" t="s">
        <v>398</v>
      </c>
      <c r="H47" t="s">
        <v>27</v>
      </c>
      <c r="I47" s="1">
        <v>554.4</v>
      </c>
      <c r="J47" s="1">
        <f>+Tabla1[[#This Row],[Importe]]*0.12</f>
        <v>66.527999999999992</v>
      </c>
      <c r="K47" s="1">
        <v>554.4</v>
      </c>
      <c r="L47" s="2"/>
      <c r="M47" s="2"/>
      <c r="N47" t="s">
        <v>399</v>
      </c>
      <c r="O47">
        <v>504</v>
      </c>
      <c r="P47">
        <v>0</v>
      </c>
      <c r="Q47" t="s">
        <v>556</v>
      </c>
      <c r="R47" s="22" t="s">
        <v>557</v>
      </c>
    </row>
    <row r="48" spans="1:19" x14ac:dyDescent="0.25">
      <c r="B48" t="s">
        <v>17</v>
      </c>
      <c r="C48" t="s">
        <v>22</v>
      </c>
      <c r="D48" t="s">
        <v>400</v>
      </c>
      <c r="E48" s="2">
        <v>46244</v>
      </c>
      <c r="F48">
        <v>20523732391</v>
      </c>
      <c r="G48" t="s">
        <v>401</v>
      </c>
      <c r="H48" t="s">
        <v>27</v>
      </c>
      <c r="I48" s="1">
        <v>954</v>
      </c>
      <c r="J48" s="1">
        <f>+Tabla1[[#This Row],[Importe]]*0.12</f>
        <v>114.47999999999999</v>
      </c>
      <c r="K48" s="1">
        <v>954</v>
      </c>
      <c r="L48" s="2">
        <v>46259</v>
      </c>
      <c r="M48" s="2"/>
      <c r="N48" t="s">
        <v>402</v>
      </c>
      <c r="O48">
        <v>867.27</v>
      </c>
      <c r="P48">
        <v>0</v>
      </c>
      <c r="Q48" t="s">
        <v>556</v>
      </c>
      <c r="R48" s="22" t="s">
        <v>557</v>
      </c>
    </row>
    <row r="49" spans="1:19" x14ac:dyDescent="0.25">
      <c r="B49" t="s">
        <v>15</v>
      </c>
      <c r="C49" t="s">
        <v>22</v>
      </c>
      <c r="D49" t="s">
        <v>363</v>
      </c>
      <c r="E49" s="19">
        <f>DATE(2026,8,5)</f>
        <v>46239</v>
      </c>
      <c r="F49">
        <v>20101091083</v>
      </c>
      <c r="G49" t="s">
        <v>364</v>
      </c>
      <c r="H49" t="s">
        <v>27</v>
      </c>
      <c r="I49" s="1">
        <v>1084.74</v>
      </c>
      <c r="J49" s="1">
        <v>108.47</v>
      </c>
      <c r="K49" s="1">
        <v>976.27</v>
      </c>
      <c r="L49" s="19">
        <f>DATE(2026,8,5)</f>
        <v>46239</v>
      </c>
      <c r="M49" s="2"/>
      <c r="N49" t="s">
        <v>365</v>
      </c>
      <c r="O49">
        <v>919.28</v>
      </c>
      <c r="P49">
        <v>165.47</v>
      </c>
      <c r="Q49" t="s">
        <v>551</v>
      </c>
      <c r="R49" s="22" t="s">
        <v>591</v>
      </c>
      <c r="S49">
        <v>368</v>
      </c>
    </row>
    <row r="50" spans="1:19" x14ac:dyDescent="0.25">
      <c r="B50" t="s">
        <v>17</v>
      </c>
      <c r="C50" t="s">
        <v>22</v>
      </c>
      <c r="D50" t="s">
        <v>478</v>
      </c>
      <c r="E50" s="2">
        <f>DATE(2026,8,7)</f>
        <v>46241</v>
      </c>
      <c r="F50">
        <v>20527918716</v>
      </c>
      <c r="G50" t="s">
        <v>479</v>
      </c>
      <c r="H50" t="s">
        <v>27</v>
      </c>
      <c r="I50" s="1">
        <v>4000</v>
      </c>
      <c r="J50" s="1"/>
      <c r="K50" s="1">
        <v>4000</v>
      </c>
      <c r="L50" s="2"/>
      <c r="M50" s="2"/>
      <c r="N50" t="s">
        <v>480</v>
      </c>
      <c r="Q50" t="s">
        <v>577</v>
      </c>
      <c r="R50" s="22" t="s">
        <v>557</v>
      </c>
    </row>
    <row r="51" spans="1:19" hidden="1" x14ac:dyDescent="0.25">
      <c r="A51" s="8">
        <v>260700011</v>
      </c>
      <c r="B51" s="8" t="s">
        <v>17</v>
      </c>
      <c r="C51" s="8" t="s">
        <v>22</v>
      </c>
      <c r="D51" s="8" t="s">
        <v>78</v>
      </c>
      <c r="E51" s="9">
        <f>DATE(2026,7,19)</f>
        <v>46222</v>
      </c>
      <c r="F51" s="8">
        <v>20606153938</v>
      </c>
      <c r="G51" s="8" t="s">
        <v>79</v>
      </c>
      <c r="H51" s="8" t="s">
        <v>11</v>
      </c>
      <c r="I51" s="7">
        <v>45</v>
      </c>
      <c r="J51" s="7"/>
      <c r="K51" s="7">
        <f>+I51-J51</f>
        <v>45</v>
      </c>
      <c r="L51" s="9">
        <f>DATE(2026,7,19)</f>
        <v>46222</v>
      </c>
      <c r="M51" s="9" t="s">
        <v>381</v>
      </c>
      <c r="N51" s="8" t="s">
        <v>80</v>
      </c>
      <c r="O51" s="8"/>
      <c r="P51" s="8"/>
      <c r="Q51" s="8"/>
      <c r="R51" s="8"/>
      <c r="S51" s="8"/>
    </row>
    <row r="52" spans="1:19" x14ac:dyDescent="0.25">
      <c r="A52">
        <v>260800004</v>
      </c>
      <c r="B52" t="s">
        <v>17</v>
      </c>
      <c r="C52" t="s">
        <v>22</v>
      </c>
      <c r="D52" t="s">
        <v>323</v>
      </c>
      <c r="E52" s="2">
        <f>DATE(2026,8,12)</f>
        <v>46246</v>
      </c>
      <c r="F52">
        <v>20527992525</v>
      </c>
      <c r="G52" t="s">
        <v>324</v>
      </c>
      <c r="H52" t="s">
        <v>27</v>
      </c>
      <c r="I52" s="1">
        <v>70</v>
      </c>
      <c r="J52" s="1"/>
      <c r="K52" s="1">
        <v>70</v>
      </c>
      <c r="L52" s="2">
        <f>DATE(2026,8,12)</f>
        <v>46246</v>
      </c>
      <c r="M52" s="2"/>
      <c r="N52" t="s">
        <v>325</v>
      </c>
      <c r="O52">
        <v>54.69</v>
      </c>
      <c r="P52">
        <v>9.84</v>
      </c>
      <c r="Q52" t="s">
        <v>551</v>
      </c>
      <c r="R52" s="22" t="s">
        <v>557</v>
      </c>
    </row>
    <row r="53" spans="1:19" x14ac:dyDescent="0.25">
      <c r="A53">
        <v>260800001</v>
      </c>
      <c r="B53" t="s">
        <v>17</v>
      </c>
      <c r="C53" t="s">
        <v>22</v>
      </c>
      <c r="D53" t="s">
        <v>403</v>
      </c>
      <c r="E53" s="2">
        <v>46248</v>
      </c>
      <c r="F53">
        <v>20527992525</v>
      </c>
      <c r="G53" t="s">
        <v>324</v>
      </c>
      <c r="H53" t="s">
        <v>27</v>
      </c>
      <c r="I53" s="1">
        <v>70</v>
      </c>
      <c r="J53" s="1">
        <f>+Tabla1[[#This Row],[Importe]]*0.12</f>
        <v>8.4</v>
      </c>
      <c r="K53" s="1">
        <v>70</v>
      </c>
      <c r="L53" s="2"/>
      <c r="M53" s="2"/>
      <c r="N53" t="s">
        <v>404</v>
      </c>
      <c r="O53">
        <v>54.69</v>
      </c>
      <c r="P53">
        <v>9.84</v>
      </c>
      <c r="Q53" t="s">
        <v>551</v>
      </c>
      <c r="R53" s="22" t="s">
        <v>557</v>
      </c>
    </row>
    <row r="54" spans="1:19" hidden="1" x14ac:dyDescent="0.25">
      <c r="B54" t="s">
        <v>17</v>
      </c>
      <c r="C54" t="s">
        <v>22</v>
      </c>
      <c r="D54" t="s">
        <v>439</v>
      </c>
      <c r="E54" s="2">
        <v>46234</v>
      </c>
      <c r="F54">
        <v>20119407738</v>
      </c>
      <c r="G54" t="s">
        <v>440</v>
      </c>
      <c r="H54" t="s">
        <v>11</v>
      </c>
      <c r="I54" s="1">
        <v>45</v>
      </c>
      <c r="J54" s="1">
        <f>+Tabla1[[#This Row],[Importe]]*0.12</f>
        <v>5.3999999999999995</v>
      </c>
      <c r="K54" s="1">
        <v>45</v>
      </c>
      <c r="L54" s="2"/>
      <c r="M54" s="2"/>
      <c r="N54" t="s">
        <v>441</v>
      </c>
    </row>
    <row r="55" spans="1:19" hidden="1" x14ac:dyDescent="0.25">
      <c r="B55" t="s">
        <v>17</v>
      </c>
      <c r="C55" t="s">
        <v>22</v>
      </c>
      <c r="D55" t="s">
        <v>436</v>
      </c>
      <c r="E55" s="2">
        <v>46231</v>
      </c>
      <c r="F55">
        <v>20106076635</v>
      </c>
      <c r="G55" t="s">
        <v>437</v>
      </c>
      <c r="H55" t="s">
        <v>11</v>
      </c>
      <c r="I55" s="1">
        <v>65</v>
      </c>
      <c r="J55" s="1">
        <f>+Tabla1[[#This Row],[Importe]]*0.12</f>
        <v>7.8</v>
      </c>
      <c r="K55" s="1">
        <v>65</v>
      </c>
      <c r="L55" s="2"/>
      <c r="M55" s="2"/>
      <c r="N55" t="s">
        <v>438</v>
      </c>
    </row>
    <row r="56" spans="1:19" hidden="1" x14ac:dyDescent="0.25">
      <c r="B56" t="s">
        <v>17</v>
      </c>
      <c r="C56" t="s">
        <v>22</v>
      </c>
      <c r="D56" t="s">
        <v>442</v>
      </c>
      <c r="E56" s="2">
        <v>46231</v>
      </c>
      <c r="F56">
        <v>20106076635</v>
      </c>
      <c r="G56" t="s">
        <v>437</v>
      </c>
      <c r="H56" t="s">
        <v>11</v>
      </c>
      <c r="I56" s="1">
        <v>20</v>
      </c>
      <c r="J56" s="1">
        <f>+Tabla1[[#This Row],[Importe]]*0.12</f>
        <v>2.4</v>
      </c>
      <c r="K56" s="1">
        <v>20</v>
      </c>
      <c r="L56" s="2"/>
      <c r="M56" s="2"/>
      <c r="N56" t="s">
        <v>443</v>
      </c>
    </row>
    <row r="57" spans="1:19" hidden="1" x14ac:dyDescent="0.25">
      <c r="B57" t="s">
        <v>17</v>
      </c>
      <c r="C57" t="s">
        <v>22</v>
      </c>
      <c r="D57" t="s">
        <v>444</v>
      </c>
      <c r="E57" s="2">
        <v>46233</v>
      </c>
      <c r="F57">
        <v>20106076635</v>
      </c>
      <c r="G57" t="s">
        <v>437</v>
      </c>
      <c r="H57" t="s">
        <v>11</v>
      </c>
      <c r="I57" s="1">
        <v>20</v>
      </c>
      <c r="J57" s="1">
        <f>+Tabla1[[#This Row],[Importe]]*0.12</f>
        <v>2.4</v>
      </c>
      <c r="K57" s="1">
        <v>20</v>
      </c>
      <c r="L57" s="2"/>
      <c r="M57" s="2"/>
      <c r="N57" t="s">
        <v>445</v>
      </c>
    </row>
    <row r="58" spans="1:19" hidden="1" x14ac:dyDescent="0.25">
      <c r="B58" t="s">
        <v>17</v>
      </c>
      <c r="C58" t="s">
        <v>22</v>
      </c>
      <c r="D58" t="s">
        <v>446</v>
      </c>
      <c r="E58" s="2">
        <v>46232</v>
      </c>
      <c r="F58">
        <v>20106076635</v>
      </c>
      <c r="G58" t="s">
        <v>437</v>
      </c>
      <c r="H58" t="s">
        <v>11</v>
      </c>
      <c r="I58" s="1">
        <v>15</v>
      </c>
      <c r="J58" s="1">
        <f>+Tabla1[[#This Row],[Importe]]*0.12</f>
        <v>1.7999999999999998</v>
      </c>
      <c r="K58" s="1">
        <v>15</v>
      </c>
      <c r="L58" s="2"/>
      <c r="M58" s="2"/>
      <c r="N58" t="s">
        <v>447</v>
      </c>
    </row>
    <row r="59" spans="1:19" hidden="1" x14ac:dyDescent="0.25">
      <c r="B59" t="s">
        <v>17</v>
      </c>
      <c r="C59" t="s">
        <v>22</v>
      </c>
      <c r="D59" t="s">
        <v>279</v>
      </c>
      <c r="E59" s="2">
        <f>DATE(2026,6,15)</f>
        <v>46188</v>
      </c>
      <c r="F59">
        <v>20181508168</v>
      </c>
      <c r="G59" t="s">
        <v>280</v>
      </c>
      <c r="H59" t="s">
        <v>11</v>
      </c>
      <c r="I59" s="1">
        <v>4365.2</v>
      </c>
      <c r="J59" s="1"/>
      <c r="K59" s="1">
        <v>4365.2</v>
      </c>
      <c r="L59" s="2">
        <f>DATE(2026,6,15)</f>
        <v>46188</v>
      </c>
      <c r="M59" s="2"/>
      <c r="N59" t="s">
        <v>281</v>
      </c>
    </row>
    <row r="60" spans="1:19" hidden="1" x14ac:dyDescent="0.25">
      <c r="B60" t="s">
        <v>15</v>
      </c>
      <c r="C60" t="s">
        <v>16</v>
      </c>
      <c r="D60" s="2" t="s">
        <v>19</v>
      </c>
      <c r="E60" s="2">
        <v>46234</v>
      </c>
      <c r="F60">
        <v>20106897914</v>
      </c>
      <c r="G60" t="s">
        <v>20</v>
      </c>
      <c r="H60" t="s">
        <v>11</v>
      </c>
      <c r="I60" s="1">
        <v>248.4</v>
      </c>
      <c r="J60" s="1"/>
      <c r="K60" s="1">
        <f>+I60-J60</f>
        <v>248.4</v>
      </c>
      <c r="L60" s="2">
        <v>46247</v>
      </c>
      <c r="M60" s="2"/>
      <c r="N60" t="s">
        <v>21</v>
      </c>
    </row>
    <row r="61" spans="1:19" hidden="1" x14ac:dyDescent="0.25">
      <c r="A61" s="8">
        <v>260600002</v>
      </c>
      <c r="B61" s="8" t="s">
        <v>17</v>
      </c>
      <c r="C61" s="8" t="s">
        <v>22</v>
      </c>
      <c r="D61" s="8" t="s">
        <v>81</v>
      </c>
      <c r="E61" s="9">
        <f>DATE(2026,7,28)</f>
        <v>46231</v>
      </c>
      <c r="F61" s="8">
        <v>20601320500</v>
      </c>
      <c r="G61" s="8" t="s">
        <v>82</v>
      </c>
      <c r="H61" s="8" t="s">
        <v>27</v>
      </c>
      <c r="I61" s="7">
        <v>756</v>
      </c>
      <c r="J61" s="7">
        <v>75.599999999999994</v>
      </c>
      <c r="K61" s="7">
        <f>+I61-J61</f>
        <v>680.4</v>
      </c>
      <c r="L61" s="9">
        <f>DATE(2026,8,15)</f>
        <v>46249</v>
      </c>
      <c r="M61" s="9" t="s">
        <v>381</v>
      </c>
      <c r="N61" s="8" t="s">
        <v>83</v>
      </c>
      <c r="O61" s="8"/>
      <c r="P61" s="8"/>
      <c r="Q61" s="8"/>
      <c r="R61" s="8"/>
      <c r="S61" s="8"/>
    </row>
    <row r="62" spans="1:19" hidden="1" x14ac:dyDescent="0.25">
      <c r="A62">
        <v>260700003</v>
      </c>
      <c r="B62" t="s">
        <v>17</v>
      </c>
      <c r="C62" t="s">
        <v>22</v>
      </c>
      <c r="D62" t="s">
        <v>84</v>
      </c>
      <c r="E62" s="2">
        <f>DATE(2026,7,28)</f>
        <v>46231</v>
      </c>
      <c r="F62">
        <v>20601320500</v>
      </c>
      <c r="G62" t="s">
        <v>82</v>
      </c>
      <c r="H62" t="s">
        <v>27</v>
      </c>
      <c r="I62" s="1">
        <v>255</v>
      </c>
      <c r="J62" s="1">
        <v>25.5</v>
      </c>
      <c r="K62" s="1">
        <f>+I62-J62</f>
        <v>229.5</v>
      </c>
      <c r="L62" s="2">
        <f>DATE(2026,8,15)</f>
        <v>46249</v>
      </c>
      <c r="M62" s="2" t="s">
        <v>382</v>
      </c>
      <c r="N62" t="s">
        <v>85</v>
      </c>
    </row>
    <row r="63" spans="1:19" x14ac:dyDescent="0.25">
      <c r="A63" s="8">
        <v>260700012</v>
      </c>
      <c r="B63" s="8" t="s">
        <v>17</v>
      </c>
      <c r="C63" s="8" t="s">
        <v>22</v>
      </c>
      <c r="D63" s="8" t="s">
        <v>415</v>
      </c>
      <c r="E63" s="9">
        <v>46249</v>
      </c>
      <c r="F63" s="8">
        <v>20601320500</v>
      </c>
      <c r="G63" s="8" t="s">
        <v>82</v>
      </c>
      <c r="H63" s="8" t="s">
        <v>27</v>
      </c>
      <c r="I63" s="7">
        <v>908.14</v>
      </c>
      <c r="J63" s="7">
        <v>98.02</v>
      </c>
      <c r="K63" s="7">
        <v>810.12</v>
      </c>
      <c r="L63" s="9"/>
      <c r="M63" s="9"/>
      <c r="N63" s="8" t="s">
        <v>416</v>
      </c>
      <c r="O63" s="8">
        <v>769.61</v>
      </c>
      <c r="P63" s="8">
        <v>138.53</v>
      </c>
      <c r="Q63" s="8" t="s">
        <v>551</v>
      </c>
      <c r="R63" s="17" t="s">
        <v>557</v>
      </c>
      <c r="S63" s="8"/>
    </row>
    <row r="64" spans="1:19" x14ac:dyDescent="0.25">
      <c r="A64">
        <v>260700004</v>
      </c>
      <c r="B64" t="s">
        <v>17</v>
      </c>
      <c r="C64" t="s">
        <v>22</v>
      </c>
      <c r="D64" t="s">
        <v>38</v>
      </c>
      <c r="E64" s="2">
        <v>46240</v>
      </c>
      <c r="F64">
        <v>20492015165</v>
      </c>
      <c r="G64" t="s">
        <v>39</v>
      </c>
      <c r="H64" t="s">
        <v>11</v>
      </c>
      <c r="I64" s="1">
        <v>5180</v>
      </c>
      <c r="J64" s="1"/>
      <c r="K64" s="1">
        <f>+I64-J64</f>
        <v>5180</v>
      </c>
      <c r="L64" s="2">
        <v>46240</v>
      </c>
      <c r="M64" s="2"/>
      <c r="N64" t="s">
        <v>40</v>
      </c>
      <c r="O64">
        <v>4144</v>
      </c>
      <c r="P64">
        <v>745.92</v>
      </c>
      <c r="Q64" t="s">
        <v>551</v>
      </c>
      <c r="R64" s="22" t="s">
        <v>557</v>
      </c>
    </row>
    <row r="65" spans="1:19" x14ac:dyDescent="0.25">
      <c r="A65">
        <v>260700004</v>
      </c>
      <c r="B65" t="s">
        <v>17</v>
      </c>
      <c r="C65" t="s">
        <v>22</v>
      </c>
      <c r="D65" t="s">
        <v>41</v>
      </c>
      <c r="E65" s="2">
        <v>46240</v>
      </c>
      <c r="F65">
        <v>20492015165</v>
      </c>
      <c r="G65" t="s">
        <v>39</v>
      </c>
      <c r="H65" t="s">
        <v>11</v>
      </c>
      <c r="I65" s="1">
        <v>1366</v>
      </c>
      <c r="J65" s="1"/>
      <c r="K65" s="1">
        <f>+I65-J65</f>
        <v>1366</v>
      </c>
      <c r="L65" s="2">
        <v>46240</v>
      </c>
      <c r="M65" s="2"/>
      <c r="N65" t="s">
        <v>42</v>
      </c>
      <c r="O65">
        <v>1092.8</v>
      </c>
      <c r="P65">
        <v>196.7</v>
      </c>
      <c r="Q65" t="s">
        <v>551</v>
      </c>
      <c r="R65" s="22" t="s">
        <v>557</v>
      </c>
    </row>
    <row r="66" spans="1:19" hidden="1" x14ac:dyDescent="0.25">
      <c r="A66" s="8">
        <v>260500002</v>
      </c>
      <c r="B66" s="8" t="s">
        <v>17</v>
      </c>
      <c r="C66" s="8" t="s">
        <v>7</v>
      </c>
      <c r="D66" s="8" t="s">
        <v>168</v>
      </c>
      <c r="E66" s="9">
        <f>DATE(2026,5,28)</f>
        <v>46170</v>
      </c>
      <c r="F66" s="8">
        <v>10099100171</v>
      </c>
      <c r="G66" s="8" t="s">
        <v>166</v>
      </c>
      <c r="H66" s="8" t="s">
        <v>27</v>
      </c>
      <c r="I66" s="7">
        <v>189</v>
      </c>
      <c r="J66" s="7"/>
      <c r="K66" s="7">
        <v>189</v>
      </c>
      <c r="L66" s="9">
        <f>DATE(2026,5,28)</f>
        <v>46170</v>
      </c>
      <c r="M66" s="9"/>
      <c r="N66" s="8" t="s">
        <v>169</v>
      </c>
      <c r="O66" s="8"/>
      <c r="P66" s="8"/>
      <c r="Q66" s="8"/>
      <c r="R66" s="8"/>
      <c r="S66" s="8"/>
    </row>
    <row r="67" spans="1:19" hidden="1" x14ac:dyDescent="0.25">
      <c r="A67">
        <v>260700009</v>
      </c>
      <c r="B67" t="s">
        <v>17</v>
      </c>
      <c r="C67" t="s">
        <v>7</v>
      </c>
      <c r="D67" t="s">
        <v>165</v>
      </c>
      <c r="E67" s="2">
        <f>DATE(2026,7,12)</f>
        <v>46215</v>
      </c>
      <c r="F67">
        <v>10099100171</v>
      </c>
      <c r="G67" t="s">
        <v>166</v>
      </c>
      <c r="H67" t="s">
        <v>27</v>
      </c>
      <c r="I67" s="1">
        <v>64</v>
      </c>
      <c r="J67" s="1"/>
      <c r="K67" s="1">
        <v>64</v>
      </c>
      <c r="L67" s="2">
        <f>DATE(2026,7,12)</f>
        <v>46215</v>
      </c>
      <c r="M67" s="2"/>
      <c r="N67" t="s">
        <v>167</v>
      </c>
    </row>
    <row r="68" spans="1:19" hidden="1" x14ac:dyDescent="0.25">
      <c r="A68">
        <v>260700017</v>
      </c>
      <c r="B68" t="s">
        <v>17</v>
      </c>
      <c r="C68" t="s">
        <v>7</v>
      </c>
      <c r="D68" t="s">
        <v>170</v>
      </c>
      <c r="E68" s="2">
        <f>DATE(2026,7,16)</f>
        <v>46219</v>
      </c>
      <c r="F68">
        <v>10099100171</v>
      </c>
      <c r="G68" t="s">
        <v>166</v>
      </c>
      <c r="H68" t="s">
        <v>27</v>
      </c>
      <c r="I68" s="1">
        <v>64</v>
      </c>
      <c r="J68" s="1"/>
      <c r="K68" s="1">
        <v>64</v>
      </c>
      <c r="L68" s="2">
        <f>DATE(2026,7,16)</f>
        <v>46219</v>
      </c>
      <c r="M68" s="2"/>
      <c r="N68" t="s">
        <v>171</v>
      </c>
    </row>
    <row r="69" spans="1:19" hidden="1" x14ac:dyDescent="0.25">
      <c r="A69" s="8">
        <v>260700011</v>
      </c>
      <c r="B69" s="8" t="s">
        <v>17</v>
      </c>
      <c r="C69" s="8" t="s">
        <v>7</v>
      </c>
      <c r="D69" s="8" t="s">
        <v>61</v>
      </c>
      <c r="E69" s="9">
        <f>DATE(2026,7,17)</f>
        <v>46220</v>
      </c>
      <c r="F69" s="8">
        <v>10416543700</v>
      </c>
      <c r="G69" s="8" t="s">
        <v>62</v>
      </c>
      <c r="H69" s="8" t="s">
        <v>27</v>
      </c>
      <c r="I69" s="7">
        <v>64</v>
      </c>
      <c r="J69" s="7"/>
      <c r="K69" s="7">
        <f>+I69-J69</f>
        <v>64</v>
      </c>
      <c r="L69" s="9">
        <f>DATE(2026,8,10)</f>
        <v>46244</v>
      </c>
      <c r="M69" s="9"/>
      <c r="N69" s="8" t="s">
        <v>63</v>
      </c>
      <c r="O69" s="8"/>
      <c r="P69" s="8"/>
      <c r="Q69" s="8"/>
      <c r="R69" s="8"/>
      <c r="S69" s="8"/>
    </row>
    <row r="70" spans="1:19" hidden="1" x14ac:dyDescent="0.25">
      <c r="A70" s="8">
        <v>260700009</v>
      </c>
      <c r="B70" s="8" t="s">
        <v>17</v>
      </c>
      <c r="C70" s="8" t="s">
        <v>7</v>
      </c>
      <c r="D70" s="8" t="s">
        <v>52</v>
      </c>
      <c r="E70" s="9">
        <f>DATE(2026,7,24)</f>
        <v>46227</v>
      </c>
      <c r="F70" s="8">
        <v>10404124507</v>
      </c>
      <c r="G70" s="8" t="s">
        <v>53</v>
      </c>
      <c r="H70" s="8" t="s">
        <v>27</v>
      </c>
      <c r="I70" s="7">
        <v>43</v>
      </c>
      <c r="J70" s="7"/>
      <c r="K70" s="7">
        <f>+I70-J70</f>
        <v>43</v>
      </c>
      <c r="L70" s="9">
        <f>DATE(2026,7,24)</f>
        <v>46227</v>
      </c>
      <c r="M70" s="9" t="s">
        <v>381</v>
      </c>
      <c r="N70" s="8" t="s">
        <v>54</v>
      </c>
      <c r="O70" s="8"/>
      <c r="P70" s="8"/>
      <c r="Q70" s="8"/>
      <c r="R70" s="8"/>
      <c r="S70" s="8"/>
    </row>
    <row r="71" spans="1:19" hidden="1" x14ac:dyDescent="0.25">
      <c r="A71" s="8">
        <v>260700017</v>
      </c>
      <c r="B71" s="8" t="s">
        <v>17</v>
      </c>
      <c r="C71" s="8" t="s">
        <v>7</v>
      </c>
      <c r="D71" s="8" t="s">
        <v>55</v>
      </c>
      <c r="E71" s="9">
        <f>DATE(2026,7,24)</f>
        <v>46227</v>
      </c>
      <c r="F71" s="8">
        <v>10404124507</v>
      </c>
      <c r="G71" s="8" t="s">
        <v>53</v>
      </c>
      <c r="H71" s="8" t="s">
        <v>27</v>
      </c>
      <c r="I71" s="7">
        <v>103</v>
      </c>
      <c r="J71" s="7"/>
      <c r="K71" s="7">
        <f>+I71-J71</f>
        <v>103</v>
      </c>
      <c r="L71" s="9">
        <f>DATE(2026,7,24)</f>
        <v>46227</v>
      </c>
      <c r="M71" s="9" t="s">
        <v>381</v>
      </c>
      <c r="N71" s="8" t="s">
        <v>56</v>
      </c>
      <c r="O71" s="8"/>
      <c r="P71" s="8"/>
      <c r="Q71" s="8"/>
      <c r="R71" s="8"/>
      <c r="S71" s="8"/>
    </row>
    <row r="72" spans="1:19" hidden="1" x14ac:dyDescent="0.25">
      <c r="A72" s="8">
        <v>260700011</v>
      </c>
      <c r="B72" s="8" t="s">
        <v>17</v>
      </c>
      <c r="C72" s="8" t="s">
        <v>7</v>
      </c>
      <c r="D72" s="8" t="s">
        <v>57</v>
      </c>
      <c r="E72" s="9">
        <f>DATE(2026,7,24)</f>
        <v>46227</v>
      </c>
      <c r="F72" s="8">
        <v>10404124507</v>
      </c>
      <c r="G72" s="8" t="s">
        <v>53</v>
      </c>
      <c r="H72" s="8" t="s">
        <v>27</v>
      </c>
      <c r="I72" s="7">
        <v>89</v>
      </c>
      <c r="J72" s="7"/>
      <c r="K72" s="7">
        <f>+I72-J72</f>
        <v>89</v>
      </c>
      <c r="L72" s="9">
        <f>DATE(2026,7,24)</f>
        <v>46227</v>
      </c>
      <c r="M72" s="9" t="s">
        <v>381</v>
      </c>
      <c r="N72" s="8" t="s">
        <v>58</v>
      </c>
      <c r="O72" s="8"/>
      <c r="P72" s="8"/>
      <c r="Q72" s="8"/>
      <c r="R72" s="8"/>
      <c r="S72" s="8"/>
    </row>
    <row r="73" spans="1:19" hidden="1" x14ac:dyDescent="0.25">
      <c r="A73" s="8">
        <v>260700005</v>
      </c>
      <c r="B73" s="8" t="s">
        <v>17</v>
      </c>
      <c r="C73" s="8" t="s">
        <v>7</v>
      </c>
      <c r="D73" s="8" t="s">
        <v>59</v>
      </c>
      <c r="E73" s="9">
        <f>DATE(2026,7,24)</f>
        <v>46227</v>
      </c>
      <c r="F73" s="8">
        <v>10404124507</v>
      </c>
      <c r="G73" s="8" t="s">
        <v>53</v>
      </c>
      <c r="H73" s="8" t="s">
        <v>27</v>
      </c>
      <c r="I73" s="7">
        <v>112</v>
      </c>
      <c r="J73" s="7"/>
      <c r="K73" s="7">
        <f>+I73-J73</f>
        <v>112</v>
      </c>
      <c r="L73" s="9">
        <f>DATE(2026,7,24)</f>
        <v>46227</v>
      </c>
      <c r="M73" s="9" t="s">
        <v>381</v>
      </c>
      <c r="N73" s="8" t="s">
        <v>60</v>
      </c>
      <c r="O73" s="8"/>
      <c r="P73" s="8"/>
      <c r="Q73" s="8"/>
      <c r="R73" s="8"/>
      <c r="S73" s="8"/>
    </row>
    <row r="74" spans="1:19" x14ac:dyDescent="0.25">
      <c r="A74" s="8">
        <v>260700012</v>
      </c>
      <c r="B74" s="8" t="s">
        <v>17</v>
      </c>
      <c r="C74" s="8" t="s">
        <v>7</v>
      </c>
      <c r="D74" s="8" t="s">
        <v>370</v>
      </c>
      <c r="E74" s="9">
        <f>DATE(2026,8,5)</f>
        <v>46239</v>
      </c>
      <c r="F74" s="8">
        <v>10404124507</v>
      </c>
      <c r="G74" s="8" t="s">
        <v>53</v>
      </c>
      <c r="H74" s="8" t="s">
        <v>27</v>
      </c>
      <c r="I74" s="7">
        <v>75</v>
      </c>
      <c r="J74" s="7"/>
      <c r="K74" s="7">
        <v>75</v>
      </c>
      <c r="L74" s="9">
        <f>DATE(2026,8,5)</f>
        <v>46239</v>
      </c>
      <c r="M74" s="9" t="s">
        <v>381</v>
      </c>
      <c r="N74" s="8" t="s">
        <v>371</v>
      </c>
      <c r="O74" s="8">
        <v>75</v>
      </c>
      <c r="P74" s="8">
        <v>0</v>
      </c>
      <c r="Q74" s="8" t="s">
        <v>7</v>
      </c>
      <c r="R74" s="17" t="s">
        <v>557</v>
      </c>
      <c r="S74" s="8"/>
    </row>
    <row r="75" spans="1:19" hidden="1" x14ac:dyDescent="0.25">
      <c r="A75" s="8">
        <v>260700019</v>
      </c>
      <c r="B75" s="8" t="s">
        <v>17</v>
      </c>
      <c r="C75" s="8" t="s">
        <v>7</v>
      </c>
      <c r="D75" s="8" t="s">
        <v>156</v>
      </c>
      <c r="E75" s="9">
        <f>DATE(2026,7,24)</f>
        <v>46227</v>
      </c>
      <c r="F75" s="8">
        <v>10404124507</v>
      </c>
      <c r="G75" s="8" t="s">
        <v>53</v>
      </c>
      <c r="H75" s="8" t="s">
        <v>27</v>
      </c>
      <c r="I75" s="7">
        <v>22</v>
      </c>
      <c r="J75" s="7"/>
      <c r="K75" s="7">
        <v>22</v>
      </c>
      <c r="L75" s="9">
        <f>DATE(2026,7,24)</f>
        <v>46227</v>
      </c>
      <c r="M75" s="9" t="s">
        <v>383</v>
      </c>
      <c r="N75" s="8" t="s">
        <v>157</v>
      </c>
      <c r="O75" s="8"/>
      <c r="P75" s="8"/>
      <c r="Q75" s="8"/>
      <c r="R75" s="8"/>
      <c r="S75" s="8"/>
    </row>
    <row r="76" spans="1:19" s="10" customFormat="1" hidden="1" x14ac:dyDescent="0.25">
      <c r="A76" s="8">
        <v>260700003</v>
      </c>
      <c r="B76" s="8" t="s">
        <v>17</v>
      </c>
      <c r="C76" s="8" t="s">
        <v>7</v>
      </c>
      <c r="D76" s="8" t="s">
        <v>158</v>
      </c>
      <c r="E76" s="9">
        <f>DATE(2026,7,24)</f>
        <v>46227</v>
      </c>
      <c r="F76" s="8">
        <v>10404124507</v>
      </c>
      <c r="G76" s="8" t="s">
        <v>53</v>
      </c>
      <c r="H76" s="8" t="s">
        <v>27</v>
      </c>
      <c r="I76" s="7">
        <v>38</v>
      </c>
      <c r="J76" s="7"/>
      <c r="K76" s="7">
        <v>38</v>
      </c>
      <c r="L76" s="9">
        <f>DATE(2026,7,24)</f>
        <v>46227</v>
      </c>
      <c r="M76" s="9" t="s">
        <v>383</v>
      </c>
      <c r="N76" s="8" t="s">
        <v>159</v>
      </c>
      <c r="O76" s="8"/>
      <c r="P76" s="8"/>
      <c r="Q76" s="8"/>
      <c r="R76" s="8"/>
      <c r="S76" s="8"/>
    </row>
    <row r="77" spans="1:19" hidden="1" x14ac:dyDescent="0.25">
      <c r="A77" s="10">
        <v>260700014</v>
      </c>
      <c r="B77" s="10" t="s">
        <v>17</v>
      </c>
      <c r="C77" s="10" t="s">
        <v>7</v>
      </c>
      <c r="D77" s="10" t="s">
        <v>160</v>
      </c>
      <c r="E77" s="11">
        <f>DATE(2026,7,24)</f>
        <v>46227</v>
      </c>
      <c r="F77" s="10">
        <v>10404124507</v>
      </c>
      <c r="G77" s="10" t="s">
        <v>53</v>
      </c>
      <c r="H77" s="10" t="s">
        <v>27</v>
      </c>
      <c r="I77" s="12">
        <v>61</v>
      </c>
      <c r="J77" s="12"/>
      <c r="K77" s="12">
        <v>61</v>
      </c>
      <c r="L77" s="11">
        <f>DATE(2026,7,24)</f>
        <v>46227</v>
      </c>
      <c r="M77" s="11" t="s">
        <v>383</v>
      </c>
      <c r="N77" s="10" t="s">
        <v>161</v>
      </c>
      <c r="O77" s="10"/>
      <c r="P77" s="10"/>
      <c r="Q77" s="10"/>
      <c r="R77" s="10"/>
      <c r="S77" s="10"/>
    </row>
    <row r="78" spans="1:19" hidden="1" x14ac:dyDescent="0.25">
      <c r="A78" s="8">
        <v>260700004</v>
      </c>
      <c r="B78" s="8" t="s">
        <v>17</v>
      </c>
      <c r="C78" s="8" t="s">
        <v>7</v>
      </c>
      <c r="D78" s="8" t="s">
        <v>368</v>
      </c>
      <c r="E78" s="9">
        <f>DATE(2026,7,31)</f>
        <v>46234</v>
      </c>
      <c r="F78" s="8">
        <v>10404124507</v>
      </c>
      <c r="G78" s="8" t="s">
        <v>53</v>
      </c>
      <c r="H78" s="8" t="s">
        <v>27</v>
      </c>
      <c r="I78" s="7">
        <v>69</v>
      </c>
      <c r="J78" s="7"/>
      <c r="K78" s="7">
        <v>69</v>
      </c>
      <c r="L78" s="9">
        <f>DATE(2026,7,31)</f>
        <v>46234</v>
      </c>
      <c r="M78" s="9" t="s">
        <v>381</v>
      </c>
      <c r="N78" s="8" t="s">
        <v>369</v>
      </c>
      <c r="O78" s="8"/>
      <c r="P78" s="8"/>
      <c r="Q78" s="8"/>
      <c r="R78" s="8"/>
      <c r="S78" s="8"/>
    </row>
    <row r="79" spans="1:19" x14ac:dyDescent="0.25">
      <c r="A79" s="10">
        <v>260700020</v>
      </c>
      <c r="B79" s="10" t="s">
        <v>17</v>
      </c>
      <c r="C79" s="10" t="s">
        <v>7</v>
      </c>
      <c r="D79" s="10" t="s">
        <v>372</v>
      </c>
      <c r="E79" s="11">
        <f>DATE(2026,8,5)</f>
        <v>46239</v>
      </c>
      <c r="F79" s="10">
        <v>10404124507</v>
      </c>
      <c r="G79" s="10" t="s">
        <v>53</v>
      </c>
      <c r="H79" s="10" t="s">
        <v>27</v>
      </c>
      <c r="I79" s="12">
        <v>20</v>
      </c>
      <c r="J79" s="12"/>
      <c r="K79" s="12">
        <v>20</v>
      </c>
      <c r="L79" s="11">
        <f>DATE(2026,8,5)</f>
        <v>46239</v>
      </c>
      <c r="M79" s="11" t="s">
        <v>383</v>
      </c>
      <c r="N79" s="10" t="s">
        <v>373</v>
      </c>
      <c r="O79" s="10">
        <v>20</v>
      </c>
      <c r="P79" s="10">
        <v>0</v>
      </c>
      <c r="Q79" s="10" t="s">
        <v>7</v>
      </c>
      <c r="R79" s="23" t="s">
        <v>557</v>
      </c>
      <c r="S79" s="10"/>
    </row>
    <row r="80" spans="1:19" x14ac:dyDescent="0.25">
      <c r="A80">
        <v>260800003</v>
      </c>
      <c r="B80" t="s">
        <v>17</v>
      </c>
      <c r="C80" t="s">
        <v>22</v>
      </c>
      <c r="D80" t="s">
        <v>43</v>
      </c>
      <c r="E80" s="2">
        <v>46240</v>
      </c>
      <c r="F80">
        <v>20252796623</v>
      </c>
      <c r="G80" t="s">
        <v>44</v>
      </c>
      <c r="H80" t="s">
        <v>11</v>
      </c>
      <c r="I80" s="1">
        <v>200</v>
      </c>
      <c r="J80" s="1"/>
      <c r="K80" s="1">
        <f>+I80-J80</f>
        <v>200</v>
      </c>
      <c r="L80" s="2">
        <v>46240</v>
      </c>
      <c r="M80" s="2"/>
      <c r="N80" t="s">
        <v>45</v>
      </c>
      <c r="O80">
        <v>158.72999999999999</v>
      </c>
      <c r="P80">
        <v>28.57</v>
      </c>
      <c r="Q80" t="s">
        <v>551</v>
      </c>
      <c r="R80" s="22" t="s">
        <v>557</v>
      </c>
    </row>
    <row r="81" spans="1:19" x14ac:dyDescent="0.25">
      <c r="A81">
        <v>260800005</v>
      </c>
      <c r="B81" t="s">
        <v>17</v>
      </c>
      <c r="C81" t="s">
        <v>22</v>
      </c>
      <c r="D81" t="s">
        <v>389</v>
      </c>
      <c r="E81" s="2">
        <v>46248</v>
      </c>
      <c r="F81">
        <v>20252796623</v>
      </c>
      <c r="G81" t="s">
        <v>44</v>
      </c>
      <c r="H81" t="s">
        <v>11</v>
      </c>
      <c r="I81" s="1">
        <v>794.5</v>
      </c>
      <c r="J81" s="1">
        <f>+Tabla1[[#This Row],[Importe]]*0.12</f>
        <v>95.34</v>
      </c>
      <c r="K81" s="1">
        <v>794.5</v>
      </c>
      <c r="L81" s="2"/>
      <c r="M81" s="2"/>
      <c r="N81" t="s">
        <v>390</v>
      </c>
      <c r="O81">
        <v>630.55999999999995</v>
      </c>
      <c r="P81">
        <v>113.5</v>
      </c>
      <c r="Q81" t="s">
        <v>551</v>
      </c>
      <c r="R81" s="22" t="s">
        <v>557</v>
      </c>
    </row>
    <row r="82" spans="1:19" hidden="1" x14ac:dyDescent="0.25">
      <c r="A82" s="8">
        <v>260600001</v>
      </c>
      <c r="B82" s="8" t="s">
        <v>17</v>
      </c>
      <c r="C82" s="8" t="s">
        <v>22</v>
      </c>
      <c r="D82" s="8" t="s">
        <v>148</v>
      </c>
      <c r="E82" s="9">
        <f>DATE(2026,7,1)</f>
        <v>46204</v>
      </c>
      <c r="F82" s="8">
        <v>20527988331</v>
      </c>
      <c r="G82" s="8" t="s">
        <v>149</v>
      </c>
      <c r="H82" s="8" t="s">
        <v>27</v>
      </c>
      <c r="I82" s="7">
        <v>2010.72</v>
      </c>
      <c r="J82" s="7">
        <f>+(Tabla1[[#This Row],[Importe]]*0.12)+500</f>
        <v>741.28639999999996</v>
      </c>
      <c r="K82" s="7">
        <f>+I82-J82</f>
        <v>1269.4336000000001</v>
      </c>
      <c r="L82" s="9">
        <f>DATE(2026,7,1)</f>
        <v>46204</v>
      </c>
      <c r="M82" s="9" t="s">
        <v>381</v>
      </c>
      <c r="N82" s="8" t="s">
        <v>150</v>
      </c>
      <c r="O82" s="8"/>
      <c r="P82" s="8"/>
      <c r="Q82" s="8"/>
      <c r="R82" s="8"/>
      <c r="S82" s="8"/>
    </row>
    <row r="83" spans="1:19" x14ac:dyDescent="0.25">
      <c r="B83" t="s">
        <v>15</v>
      </c>
      <c r="C83" t="s">
        <v>7</v>
      </c>
      <c r="D83" t="s">
        <v>146</v>
      </c>
      <c r="E83" s="2">
        <f>DATE(2026,8,7)</f>
        <v>46241</v>
      </c>
      <c r="F83">
        <v>10465858414</v>
      </c>
      <c r="G83" t="s">
        <v>154</v>
      </c>
      <c r="H83" t="s">
        <v>11</v>
      </c>
      <c r="I83" s="1">
        <v>500</v>
      </c>
      <c r="J83" s="1"/>
      <c r="K83" s="1">
        <f>+I83-J83</f>
        <v>500</v>
      </c>
      <c r="L83" s="2">
        <f>DATE(2026,8,7)</f>
        <v>46241</v>
      </c>
      <c r="M83" s="2" t="s">
        <v>248</v>
      </c>
      <c r="N83" t="s">
        <v>155</v>
      </c>
    </row>
    <row r="84" spans="1:19" x14ac:dyDescent="0.25">
      <c r="B84" t="s">
        <v>15</v>
      </c>
      <c r="C84" t="s">
        <v>7</v>
      </c>
      <c r="D84" t="s">
        <v>387</v>
      </c>
      <c r="E84" s="2">
        <v>46241</v>
      </c>
      <c r="F84">
        <v>10465858414</v>
      </c>
      <c r="G84" t="s">
        <v>154</v>
      </c>
      <c r="H84" t="s">
        <v>11</v>
      </c>
      <c r="I84" s="1">
        <v>500</v>
      </c>
      <c r="J84" s="1">
        <f>+Tabla1[[#This Row],[Importe]]*0.12</f>
        <v>60</v>
      </c>
      <c r="K84" s="1">
        <v>500</v>
      </c>
      <c r="L84" s="2"/>
      <c r="M84" s="2"/>
      <c r="N84" t="s">
        <v>388</v>
      </c>
      <c r="O84">
        <v>500</v>
      </c>
      <c r="P84">
        <v>0</v>
      </c>
      <c r="Q84" t="s">
        <v>7</v>
      </c>
      <c r="R84" s="22" t="s">
        <v>557</v>
      </c>
    </row>
    <row r="85" spans="1:19" hidden="1" x14ac:dyDescent="0.25">
      <c r="A85">
        <v>260500017</v>
      </c>
      <c r="B85" t="s">
        <v>17</v>
      </c>
      <c r="C85" t="s">
        <v>7</v>
      </c>
      <c r="D85" t="s">
        <v>175</v>
      </c>
      <c r="E85" s="2">
        <f>DATE(2026,6,18)</f>
        <v>46191</v>
      </c>
      <c r="F85">
        <v>10239898993</v>
      </c>
      <c r="G85" t="s">
        <v>176</v>
      </c>
      <c r="H85" t="s">
        <v>27</v>
      </c>
      <c r="I85" s="1">
        <v>250</v>
      </c>
      <c r="J85" s="1"/>
      <c r="K85" s="1">
        <v>250</v>
      </c>
      <c r="L85" s="2">
        <f>DATE(2026,6,18)</f>
        <v>46191</v>
      </c>
      <c r="M85" s="2"/>
      <c r="N85" t="s">
        <v>177</v>
      </c>
    </row>
    <row r="86" spans="1:19" x14ac:dyDescent="0.25">
      <c r="A86" s="8">
        <v>260700014</v>
      </c>
      <c r="B86" s="8" t="s">
        <v>17</v>
      </c>
      <c r="C86" s="8" t="s">
        <v>7</v>
      </c>
      <c r="D86" s="8" t="s">
        <v>507</v>
      </c>
      <c r="E86" s="9">
        <f>DATE(2026,8,4)</f>
        <v>46238</v>
      </c>
      <c r="F86" s="8">
        <v>10239898993</v>
      </c>
      <c r="G86" s="8" t="s">
        <v>176</v>
      </c>
      <c r="H86" s="8" t="s">
        <v>27</v>
      </c>
      <c r="I86" s="7">
        <v>90</v>
      </c>
      <c r="J86" s="7"/>
      <c r="K86" s="7">
        <v>90</v>
      </c>
      <c r="L86" s="9">
        <f>DATE(2026,8,4)</f>
        <v>46238</v>
      </c>
      <c r="M86" s="9"/>
      <c r="N86" s="8" t="s">
        <v>508</v>
      </c>
      <c r="O86" s="8">
        <v>90</v>
      </c>
      <c r="P86" s="8">
        <v>0</v>
      </c>
      <c r="Q86" s="8" t="s">
        <v>7</v>
      </c>
      <c r="R86" s="17" t="s">
        <v>557</v>
      </c>
      <c r="S86" s="8"/>
    </row>
    <row r="87" spans="1:19" x14ac:dyDescent="0.25">
      <c r="A87" s="8">
        <v>260700019</v>
      </c>
      <c r="B87" s="8" t="s">
        <v>17</v>
      </c>
      <c r="C87" s="8" t="s">
        <v>7</v>
      </c>
      <c r="D87" s="8" t="s">
        <v>509</v>
      </c>
      <c r="E87" s="9">
        <f>DATE(2026,8,4)</f>
        <v>46238</v>
      </c>
      <c r="F87" s="8">
        <v>10239898993</v>
      </c>
      <c r="G87" s="8" t="s">
        <v>176</v>
      </c>
      <c r="H87" s="8" t="s">
        <v>27</v>
      </c>
      <c r="I87" s="7">
        <v>180</v>
      </c>
      <c r="J87" s="7"/>
      <c r="K87" s="7">
        <v>180</v>
      </c>
      <c r="L87" s="9">
        <f>DATE(2026,8,4)</f>
        <v>46238</v>
      </c>
      <c r="M87" s="9"/>
      <c r="N87" s="8" t="s">
        <v>510</v>
      </c>
      <c r="O87" s="8">
        <v>180</v>
      </c>
      <c r="P87" s="8">
        <v>0</v>
      </c>
      <c r="Q87" s="8" t="s">
        <v>7</v>
      </c>
      <c r="R87" s="17" t="s">
        <v>557</v>
      </c>
      <c r="S87" s="8"/>
    </row>
    <row r="88" spans="1:19" x14ac:dyDescent="0.25">
      <c r="A88" s="8">
        <v>260700004</v>
      </c>
      <c r="B88" s="8" t="s">
        <v>17</v>
      </c>
      <c r="C88" s="8" t="s">
        <v>7</v>
      </c>
      <c r="D88" s="8" t="s">
        <v>511</v>
      </c>
      <c r="E88" s="9">
        <f>DATE(2026,8,4)</f>
        <v>46238</v>
      </c>
      <c r="F88" s="8">
        <v>10239898993</v>
      </c>
      <c r="G88" s="8" t="s">
        <v>176</v>
      </c>
      <c r="H88" s="8" t="s">
        <v>27</v>
      </c>
      <c r="I88" s="7">
        <v>75</v>
      </c>
      <c r="J88" s="7"/>
      <c r="K88" s="7">
        <v>75</v>
      </c>
      <c r="L88" s="9">
        <f>DATE(2026,8,4)</f>
        <v>46238</v>
      </c>
      <c r="M88" s="9"/>
      <c r="N88" s="8" t="s">
        <v>512</v>
      </c>
      <c r="O88" s="8">
        <v>75</v>
      </c>
      <c r="P88" s="8">
        <v>0</v>
      </c>
      <c r="Q88" s="8" t="s">
        <v>7</v>
      </c>
      <c r="R88" s="17" t="s">
        <v>557</v>
      </c>
      <c r="S88" s="8"/>
    </row>
    <row r="89" spans="1:19" x14ac:dyDescent="0.25">
      <c r="A89">
        <v>260800003</v>
      </c>
      <c r="B89" t="s">
        <v>17</v>
      </c>
      <c r="C89" t="s">
        <v>22</v>
      </c>
      <c r="D89" t="s">
        <v>326</v>
      </c>
      <c r="E89" s="2">
        <f>DATE(2026,8,13)</f>
        <v>46247</v>
      </c>
      <c r="F89">
        <v>20536047906</v>
      </c>
      <c r="G89" t="s">
        <v>327</v>
      </c>
      <c r="H89" t="s">
        <v>27</v>
      </c>
      <c r="I89" s="1">
        <v>152</v>
      </c>
      <c r="J89" s="1"/>
      <c r="K89" s="1">
        <v>152</v>
      </c>
      <c r="L89" s="2">
        <f>DATE(2026,8,13)</f>
        <v>46247</v>
      </c>
      <c r="M89" s="2"/>
      <c r="N89" t="s">
        <v>328</v>
      </c>
      <c r="O89">
        <v>138.18</v>
      </c>
      <c r="P89">
        <v>0</v>
      </c>
      <c r="Q89" t="s">
        <v>556</v>
      </c>
      <c r="R89" s="22" t="s">
        <v>557</v>
      </c>
    </row>
    <row r="90" spans="1:19" x14ac:dyDescent="0.25">
      <c r="B90" t="s">
        <v>17</v>
      </c>
      <c r="C90" t="s">
        <v>451</v>
      </c>
      <c r="D90" t="s">
        <v>457</v>
      </c>
      <c r="E90" s="2">
        <v>46247</v>
      </c>
      <c r="F90">
        <v>20536047906</v>
      </c>
      <c r="G90" t="s">
        <v>327</v>
      </c>
      <c r="H90" t="s">
        <v>27</v>
      </c>
      <c r="I90" s="1">
        <v>-304</v>
      </c>
      <c r="J90" s="1">
        <f>+Tabla1[[#This Row],[Importe]]*0.12</f>
        <v>-36.479999999999997</v>
      </c>
      <c r="K90" s="1">
        <v>-304</v>
      </c>
      <c r="L90" s="2"/>
      <c r="M90" s="2"/>
      <c r="N90" t="s">
        <v>458</v>
      </c>
      <c r="O90">
        <v>-237.5</v>
      </c>
      <c r="P90">
        <v>-42.75</v>
      </c>
      <c r="Q90" t="s">
        <v>551</v>
      </c>
      <c r="R90" s="22" t="s">
        <v>557</v>
      </c>
    </row>
    <row r="91" spans="1:19" x14ac:dyDescent="0.25">
      <c r="A91">
        <v>260700010</v>
      </c>
      <c r="B91" t="s">
        <v>17</v>
      </c>
      <c r="C91" t="s">
        <v>22</v>
      </c>
      <c r="D91" t="s">
        <v>487</v>
      </c>
      <c r="E91" s="2">
        <f>DATE(2026,8,18)</f>
        <v>46252</v>
      </c>
      <c r="F91">
        <v>20536047906</v>
      </c>
      <c r="G91" t="s">
        <v>488</v>
      </c>
      <c r="H91" t="s">
        <v>27</v>
      </c>
      <c r="I91" s="1">
        <v>136</v>
      </c>
      <c r="J91" s="1"/>
      <c r="K91" s="1">
        <v>136</v>
      </c>
      <c r="L91" s="2">
        <f>DATE(2026,8,18)</f>
        <v>46252</v>
      </c>
      <c r="M91" s="2"/>
      <c r="N91" t="s">
        <v>489</v>
      </c>
      <c r="O91">
        <v>123.64</v>
      </c>
      <c r="P91">
        <v>0</v>
      </c>
      <c r="Q91" t="s">
        <v>556</v>
      </c>
      <c r="R91" s="22" t="s">
        <v>557</v>
      </c>
    </row>
    <row r="92" spans="1:19" x14ac:dyDescent="0.25">
      <c r="A92">
        <v>260800004</v>
      </c>
      <c r="B92" t="s">
        <v>17</v>
      </c>
      <c r="C92" t="s">
        <v>22</v>
      </c>
      <c r="D92" t="s">
        <v>335</v>
      </c>
      <c r="E92" s="2">
        <f>DATE(2026,8,13)</f>
        <v>46247</v>
      </c>
      <c r="F92">
        <v>20610235736</v>
      </c>
      <c r="G92" t="s">
        <v>336</v>
      </c>
      <c r="H92" t="s">
        <v>27</v>
      </c>
      <c r="I92" s="1">
        <v>62</v>
      </c>
      <c r="J92" s="1"/>
      <c r="K92" s="1">
        <v>62</v>
      </c>
      <c r="L92" s="2">
        <f>DATE(2026,8,13)</f>
        <v>46247</v>
      </c>
      <c r="M92" s="2"/>
      <c r="N92" t="s">
        <v>337</v>
      </c>
      <c r="O92">
        <v>47.33</v>
      </c>
      <c r="P92">
        <v>8.52</v>
      </c>
      <c r="Q92" t="s">
        <v>551</v>
      </c>
      <c r="R92" s="22" t="s">
        <v>557</v>
      </c>
    </row>
    <row r="93" spans="1:19" x14ac:dyDescent="0.25">
      <c r="A93">
        <v>260800004</v>
      </c>
      <c r="B93" t="s">
        <v>17</v>
      </c>
      <c r="C93" t="s">
        <v>22</v>
      </c>
      <c r="D93" t="s">
        <v>405</v>
      </c>
      <c r="E93" s="2">
        <v>46248</v>
      </c>
      <c r="F93">
        <v>20610235736</v>
      </c>
      <c r="G93" t="s">
        <v>336</v>
      </c>
      <c r="H93" t="s">
        <v>27</v>
      </c>
      <c r="I93" s="1">
        <v>520</v>
      </c>
      <c r="J93" s="1">
        <f>+Tabla1[[#This Row],[Importe]]*0.12</f>
        <v>62.4</v>
      </c>
      <c r="K93" s="1">
        <v>520</v>
      </c>
      <c r="L93" s="2"/>
      <c r="M93" s="2"/>
      <c r="N93" t="s">
        <v>406</v>
      </c>
      <c r="O93">
        <v>460.18</v>
      </c>
      <c r="P93">
        <v>0</v>
      </c>
      <c r="Q93" t="s">
        <v>556</v>
      </c>
      <c r="R93" s="22" t="s">
        <v>557</v>
      </c>
    </row>
    <row r="94" spans="1:19" x14ac:dyDescent="0.25">
      <c r="A94">
        <v>260700010</v>
      </c>
      <c r="B94" t="s">
        <v>17</v>
      </c>
      <c r="C94" t="s">
        <v>22</v>
      </c>
      <c r="D94" t="s">
        <v>407</v>
      </c>
      <c r="E94" s="2">
        <v>46251</v>
      </c>
      <c r="F94">
        <v>20610235736</v>
      </c>
      <c r="G94" t="s">
        <v>336</v>
      </c>
      <c r="H94" t="s">
        <v>27</v>
      </c>
      <c r="I94" s="1">
        <v>360</v>
      </c>
      <c r="J94" s="1">
        <f>+Tabla1[[#This Row],[Importe]]*0.12</f>
        <v>43.199999999999996</v>
      </c>
      <c r="K94" s="1">
        <v>360</v>
      </c>
      <c r="L94" s="2"/>
      <c r="M94" s="2"/>
      <c r="N94" t="s">
        <v>408</v>
      </c>
      <c r="O94">
        <v>318.58</v>
      </c>
      <c r="P94">
        <v>0</v>
      </c>
      <c r="Q94" t="s">
        <v>556</v>
      </c>
      <c r="R94" s="22" t="s">
        <v>557</v>
      </c>
    </row>
    <row r="95" spans="1:19" x14ac:dyDescent="0.25">
      <c r="A95">
        <v>260700010</v>
      </c>
      <c r="B95" t="s">
        <v>17</v>
      </c>
      <c r="C95" t="s">
        <v>22</v>
      </c>
      <c r="D95" t="s">
        <v>409</v>
      </c>
      <c r="E95" s="2">
        <v>46251</v>
      </c>
      <c r="F95">
        <v>20610235736</v>
      </c>
      <c r="G95" t="s">
        <v>336</v>
      </c>
      <c r="H95" t="s">
        <v>27</v>
      </c>
      <c r="I95" s="1">
        <v>124</v>
      </c>
      <c r="J95" s="1">
        <f>+Tabla1[[#This Row],[Importe]]*0.12</f>
        <v>14.879999999999999</v>
      </c>
      <c r="K95" s="1">
        <v>124</v>
      </c>
      <c r="L95" s="2"/>
      <c r="M95" s="2"/>
      <c r="N95" t="s">
        <v>410</v>
      </c>
      <c r="O95">
        <v>94.66</v>
      </c>
      <c r="P95">
        <v>17.04</v>
      </c>
      <c r="Q95" t="s">
        <v>551</v>
      </c>
      <c r="R95" s="22" t="s">
        <v>557</v>
      </c>
    </row>
    <row r="96" spans="1:19" x14ac:dyDescent="0.25">
      <c r="B96" t="s">
        <v>17</v>
      </c>
      <c r="C96" t="s">
        <v>22</v>
      </c>
      <c r="D96" t="s">
        <v>490</v>
      </c>
      <c r="E96" s="2">
        <f>DATE(2026,8,19)</f>
        <v>46253</v>
      </c>
      <c r="F96">
        <v>20610235736</v>
      </c>
      <c r="G96" t="s">
        <v>491</v>
      </c>
      <c r="H96" t="s">
        <v>27</v>
      </c>
      <c r="I96" s="1">
        <v>180</v>
      </c>
      <c r="J96" s="1"/>
      <c r="K96" s="1">
        <v>180</v>
      </c>
      <c r="L96" s="2">
        <f>DATE(2026,8,19)</f>
        <v>46253</v>
      </c>
      <c r="M96" s="2"/>
      <c r="N96" t="s">
        <v>492</v>
      </c>
      <c r="O96">
        <v>159.29</v>
      </c>
      <c r="P96">
        <v>0</v>
      </c>
      <c r="Q96" t="s">
        <v>556</v>
      </c>
      <c r="R96" s="22" t="s">
        <v>557</v>
      </c>
    </row>
    <row r="97" spans="1:19" x14ac:dyDescent="0.25">
      <c r="A97" s="8"/>
      <c r="B97" s="8" t="s">
        <v>17</v>
      </c>
      <c r="C97" s="8" t="s">
        <v>22</v>
      </c>
      <c r="D97" s="8" t="s">
        <v>505</v>
      </c>
      <c r="E97" s="9">
        <f>DATE(2026,8,19)</f>
        <v>46253</v>
      </c>
      <c r="F97" s="8">
        <v>20610235736</v>
      </c>
      <c r="G97" s="8" t="s">
        <v>491</v>
      </c>
      <c r="H97" s="8" t="s">
        <v>27</v>
      </c>
      <c r="I97" s="7">
        <v>62</v>
      </c>
      <c r="J97" s="7"/>
      <c r="K97" s="7">
        <v>62</v>
      </c>
      <c r="L97" s="9">
        <f>DATE(2026,8,19)</f>
        <v>46253</v>
      </c>
      <c r="M97" s="9"/>
      <c r="N97" s="8" t="s">
        <v>506</v>
      </c>
      <c r="O97" s="8">
        <v>47.33</v>
      </c>
      <c r="P97" s="8">
        <v>8.52</v>
      </c>
      <c r="Q97" s="8" t="s">
        <v>551</v>
      </c>
      <c r="R97" s="17" t="s">
        <v>557</v>
      </c>
      <c r="S97" s="8"/>
    </row>
    <row r="98" spans="1:19" hidden="1" x14ac:dyDescent="0.25">
      <c r="A98">
        <v>260700009</v>
      </c>
      <c r="B98" t="s">
        <v>17</v>
      </c>
      <c r="C98" t="s">
        <v>22</v>
      </c>
      <c r="D98" t="s">
        <v>332</v>
      </c>
      <c r="E98" s="2">
        <f>DATE(2026,7,21)</f>
        <v>46224</v>
      </c>
      <c r="F98">
        <v>20608208977</v>
      </c>
      <c r="G98" t="s">
        <v>333</v>
      </c>
      <c r="H98" t="s">
        <v>27</v>
      </c>
      <c r="I98" s="1">
        <v>120</v>
      </c>
      <c r="J98" s="1"/>
      <c r="K98" s="1">
        <v>120</v>
      </c>
      <c r="L98" s="2">
        <f>DATE(2026,7,21)</f>
        <v>46224</v>
      </c>
      <c r="M98" s="2"/>
      <c r="N98" t="s">
        <v>334</v>
      </c>
    </row>
    <row r="99" spans="1:19" hidden="1" x14ac:dyDescent="0.25">
      <c r="A99" s="8">
        <v>260600001</v>
      </c>
      <c r="B99" s="8" t="s">
        <v>17</v>
      </c>
      <c r="C99" s="8" t="s">
        <v>22</v>
      </c>
      <c r="D99" s="8" t="s">
        <v>228</v>
      </c>
      <c r="E99" s="9">
        <f>DATE(2026,6,27)</f>
        <v>46200</v>
      </c>
      <c r="F99" s="8">
        <v>20602511007</v>
      </c>
      <c r="G99" s="8" t="s">
        <v>100</v>
      </c>
      <c r="H99" s="8" t="s">
        <v>27</v>
      </c>
      <c r="I99" s="7">
        <v>46</v>
      </c>
      <c r="J99" s="7"/>
      <c r="K99" s="7">
        <v>46</v>
      </c>
      <c r="L99" s="9">
        <f>DATE(2026,7,11)</f>
        <v>46214</v>
      </c>
      <c r="M99" s="9" t="s">
        <v>381</v>
      </c>
      <c r="N99" s="8" t="s">
        <v>229</v>
      </c>
      <c r="O99" s="8"/>
      <c r="P99" s="8"/>
      <c r="Q99" s="8"/>
      <c r="R99" s="8"/>
      <c r="S99" s="8"/>
    </row>
    <row r="100" spans="1:19" hidden="1" x14ac:dyDescent="0.25">
      <c r="A100" s="8">
        <v>260700009</v>
      </c>
      <c r="B100" s="8" t="s">
        <v>17</v>
      </c>
      <c r="C100" s="8" t="s">
        <v>22</v>
      </c>
      <c r="D100" s="8" t="s">
        <v>99</v>
      </c>
      <c r="E100" s="9">
        <f>DATE(2026,7,25)</f>
        <v>46228</v>
      </c>
      <c r="F100" s="8">
        <v>20602511007</v>
      </c>
      <c r="G100" s="8" t="s">
        <v>100</v>
      </c>
      <c r="H100" s="8" t="s">
        <v>27</v>
      </c>
      <c r="I100" s="7">
        <v>192.51</v>
      </c>
      <c r="J100" s="7"/>
      <c r="K100" s="7">
        <f>+I100-J100</f>
        <v>192.51</v>
      </c>
      <c r="L100" s="9">
        <f>DATE(2026,7,25)</f>
        <v>46228</v>
      </c>
      <c r="M100" s="9" t="s">
        <v>381</v>
      </c>
      <c r="N100" s="8" t="s">
        <v>101</v>
      </c>
      <c r="O100" s="8"/>
      <c r="P100" s="8"/>
      <c r="Q100" s="8"/>
      <c r="R100" s="8"/>
      <c r="S100" s="8"/>
    </row>
    <row r="101" spans="1:19" hidden="1" x14ac:dyDescent="0.25">
      <c r="A101" s="8">
        <v>260700017</v>
      </c>
      <c r="B101" s="8" t="s">
        <v>17</v>
      </c>
      <c r="C101" s="8" t="s">
        <v>22</v>
      </c>
      <c r="D101" s="8" t="s">
        <v>230</v>
      </c>
      <c r="E101" s="9">
        <f>DATE(2026,7,22)</f>
        <v>46225</v>
      </c>
      <c r="F101" s="8">
        <v>20602511007</v>
      </c>
      <c r="G101" s="8" t="s">
        <v>100</v>
      </c>
      <c r="H101" s="8" t="s">
        <v>27</v>
      </c>
      <c r="I101" s="7">
        <v>471.49</v>
      </c>
      <c r="J101" s="7">
        <v>47.14</v>
      </c>
      <c r="K101" s="7">
        <v>424.35</v>
      </c>
      <c r="L101" s="9">
        <f>DATE(2026,8,5)</f>
        <v>46239</v>
      </c>
      <c r="M101" s="9" t="s">
        <v>383</v>
      </c>
      <c r="N101" s="8" t="s">
        <v>231</v>
      </c>
      <c r="O101" s="8"/>
      <c r="P101" s="8"/>
      <c r="Q101" s="8"/>
      <c r="R101" s="8"/>
      <c r="S101" s="8"/>
    </row>
    <row r="102" spans="1:19" x14ac:dyDescent="0.25">
      <c r="A102" s="8">
        <v>260700004</v>
      </c>
      <c r="B102" s="8" t="s">
        <v>17</v>
      </c>
      <c r="C102" s="8" t="s">
        <v>22</v>
      </c>
      <c r="D102" s="8" t="s">
        <v>351</v>
      </c>
      <c r="E102" s="9">
        <f>DATE(2026,8,4)</f>
        <v>46238</v>
      </c>
      <c r="F102" s="8">
        <v>20602511007</v>
      </c>
      <c r="G102" s="8" t="s">
        <v>100</v>
      </c>
      <c r="H102" s="8" t="s">
        <v>27</v>
      </c>
      <c r="I102" s="7">
        <v>333</v>
      </c>
      <c r="J102" s="7">
        <v>33.299999999999997</v>
      </c>
      <c r="K102" s="7">
        <v>299.7</v>
      </c>
      <c r="L102" s="9">
        <f>DATE(2026,8,18)</f>
        <v>46252</v>
      </c>
      <c r="M102" s="9" t="s">
        <v>381</v>
      </c>
      <c r="N102" s="8" t="s">
        <v>352</v>
      </c>
      <c r="O102" s="8">
        <v>282.2</v>
      </c>
      <c r="P102" s="8">
        <v>50.8</v>
      </c>
      <c r="Q102" s="8" t="s">
        <v>551</v>
      </c>
      <c r="R102" s="17" t="s">
        <v>590</v>
      </c>
      <c r="S102" s="8">
        <v>113</v>
      </c>
    </row>
    <row r="103" spans="1:19" x14ac:dyDescent="0.25">
      <c r="B103" t="s">
        <v>17</v>
      </c>
      <c r="C103" t="s">
        <v>22</v>
      </c>
      <c r="D103" t="s">
        <v>464</v>
      </c>
      <c r="E103" s="2">
        <f>DATE(2026,8,18)</f>
        <v>46252</v>
      </c>
      <c r="F103">
        <v>20114803228</v>
      </c>
      <c r="G103" t="s">
        <v>465</v>
      </c>
      <c r="H103" t="s">
        <v>27</v>
      </c>
      <c r="I103" s="1">
        <v>1212.2</v>
      </c>
      <c r="J103" s="1"/>
      <c r="K103" s="1">
        <v>1212.2</v>
      </c>
      <c r="L103" s="2">
        <f>DATE(2026,8,18)</f>
        <v>46252</v>
      </c>
      <c r="M103" s="2"/>
      <c r="N103" t="s">
        <v>466</v>
      </c>
      <c r="O103">
        <v>1102</v>
      </c>
      <c r="P103">
        <v>0</v>
      </c>
      <c r="Q103" t="s">
        <v>556</v>
      </c>
      <c r="R103" s="22" t="s">
        <v>557</v>
      </c>
    </row>
    <row r="104" spans="1:19" x14ac:dyDescent="0.25">
      <c r="B104" t="s">
        <v>17</v>
      </c>
      <c r="C104" t="s">
        <v>451</v>
      </c>
      <c r="D104" t="s">
        <v>467</v>
      </c>
      <c r="E104" s="2">
        <f>DATE(2026,8,18)</f>
        <v>46252</v>
      </c>
      <c r="F104">
        <v>20114803228</v>
      </c>
      <c r="G104" t="s">
        <v>465</v>
      </c>
      <c r="H104" t="s">
        <v>27</v>
      </c>
      <c r="I104" s="1">
        <v>-1410.56</v>
      </c>
      <c r="J104" s="1"/>
      <c r="K104" s="1">
        <v>-1410.56</v>
      </c>
      <c r="L104" s="2">
        <f>DATE(2026,8,18)</f>
        <v>46252</v>
      </c>
      <c r="M104" s="2"/>
      <c r="N104" t="s">
        <v>468</v>
      </c>
      <c r="O104">
        <v>-1102</v>
      </c>
      <c r="P104">
        <v>-198.36</v>
      </c>
      <c r="Q104" t="s">
        <v>551</v>
      </c>
      <c r="R104" s="22" t="s">
        <v>557</v>
      </c>
    </row>
    <row r="105" spans="1:19" x14ac:dyDescent="0.25">
      <c r="B105" t="s">
        <v>17</v>
      </c>
      <c r="C105" t="s">
        <v>22</v>
      </c>
      <c r="D105" t="s">
        <v>394</v>
      </c>
      <c r="E105" s="2">
        <v>46250</v>
      </c>
      <c r="F105">
        <v>20477906380</v>
      </c>
      <c r="G105" t="s">
        <v>395</v>
      </c>
      <c r="H105" t="s">
        <v>27</v>
      </c>
      <c r="I105" s="1">
        <v>750</v>
      </c>
      <c r="J105" s="1">
        <f>+Tabla1[[#This Row],[Importe]]*0.12</f>
        <v>90</v>
      </c>
      <c r="K105" s="1">
        <v>750</v>
      </c>
      <c r="L105" s="2"/>
      <c r="M105" s="2"/>
      <c r="N105" t="s">
        <v>396</v>
      </c>
      <c r="O105">
        <v>681.82</v>
      </c>
      <c r="P105">
        <v>0</v>
      </c>
      <c r="Q105" t="s">
        <v>556</v>
      </c>
      <c r="R105" s="22" t="s">
        <v>557</v>
      </c>
    </row>
    <row r="106" spans="1:19" x14ac:dyDescent="0.25">
      <c r="B106" t="s">
        <v>17</v>
      </c>
      <c r="C106" t="s">
        <v>451</v>
      </c>
      <c r="D106" t="s">
        <v>452</v>
      </c>
      <c r="E106" s="2">
        <v>46250</v>
      </c>
      <c r="F106">
        <v>20477906380</v>
      </c>
      <c r="G106" t="s">
        <v>395</v>
      </c>
      <c r="H106" t="s">
        <v>27</v>
      </c>
      <c r="I106" s="1">
        <v>-750</v>
      </c>
      <c r="J106" s="1">
        <f>+Tabla1[[#This Row],[Importe]]*0.12</f>
        <v>-90</v>
      </c>
      <c r="K106" s="1">
        <v>-750</v>
      </c>
      <c r="L106" s="2"/>
      <c r="M106" s="2"/>
      <c r="N106" t="s">
        <v>453</v>
      </c>
      <c r="O106">
        <v>-678.73</v>
      </c>
      <c r="P106">
        <v>-71.27</v>
      </c>
      <c r="Q106" t="s">
        <v>551</v>
      </c>
      <c r="R106" s="22" t="s">
        <v>557</v>
      </c>
    </row>
    <row r="107" spans="1:19" hidden="1" x14ac:dyDescent="0.25">
      <c r="B107" t="s">
        <v>17</v>
      </c>
      <c r="C107" t="s">
        <v>22</v>
      </c>
      <c r="D107" t="s">
        <v>428</v>
      </c>
      <c r="E107" s="2">
        <v>46234</v>
      </c>
      <c r="F107">
        <v>20427463801</v>
      </c>
      <c r="G107" t="s">
        <v>429</v>
      </c>
      <c r="H107" t="s">
        <v>11</v>
      </c>
      <c r="I107" s="1">
        <v>54</v>
      </c>
      <c r="J107" s="1">
        <f>+Tabla1[[#This Row],[Importe]]*0.12</f>
        <v>6.4799999999999995</v>
      </c>
      <c r="K107" s="1">
        <v>54</v>
      </c>
      <c r="L107" s="2"/>
      <c r="M107" s="2"/>
      <c r="N107" t="s">
        <v>430</v>
      </c>
    </row>
    <row r="108" spans="1:19" x14ac:dyDescent="0.25">
      <c r="A108">
        <v>260600002</v>
      </c>
      <c r="B108" t="s">
        <v>17</v>
      </c>
      <c r="C108" t="s">
        <v>22</v>
      </c>
      <c r="D108" t="s">
        <v>417</v>
      </c>
      <c r="E108" s="2">
        <v>46248</v>
      </c>
      <c r="F108">
        <v>20602860958</v>
      </c>
      <c r="G108" t="s">
        <v>418</v>
      </c>
      <c r="H108" t="s">
        <v>27</v>
      </c>
      <c r="I108" s="1">
        <v>778.8</v>
      </c>
      <c r="J108" s="1">
        <v>77.88</v>
      </c>
      <c r="K108" s="1">
        <v>700.92</v>
      </c>
      <c r="L108" s="2"/>
      <c r="M108" s="2"/>
      <c r="N108" t="s">
        <v>419</v>
      </c>
      <c r="O108">
        <v>660</v>
      </c>
      <c r="P108">
        <v>118.8</v>
      </c>
      <c r="Q108" t="s">
        <v>551</v>
      </c>
      <c r="R108" s="22" t="s">
        <v>585</v>
      </c>
      <c r="S108">
        <v>262.52999999999997</v>
      </c>
    </row>
    <row r="109" spans="1:19" x14ac:dyDescent="0.25">
      <c r="A109" s="8">
        <v>260700017</v>
      </c>
      <c r="B109" s="8" t="s">
        <v>17</v>
      </c>
      <c r="C109" s="8" t="s">
        <v>22</v>
      </c>
      <c r="D109" s="8" t="s">
        <v>420</v>
      </c>
      <c r="E109" s="9">
        <v>46248</v>
      </c>
      <c r="F109" s="8">
        <v>20602860958</v>
      </c>
      <c r="G109" s="8" t="s">
        <v>418</v>
      </c>
      <c r="H109" s="8" t="s">
        <v>27</v>
      </c>
      <c r="I109" s="7">
        <v>354</v>
      </c>
      <c r="J109" s="7">
        <v>35.4</v>
      </c>
      <c r="K109" s="7">
        <v>318.60000000000002</v>
      </c>
      <c r="L109" s="9"/>
      <c r="M109" s="9"/>
      <c r="N109" s="8" t="s">
        <v>421</v>
      </c>
      <c r="O109" s="8">
        <v>300</v>
      </c>
      <c r="P109" s="8">
        <v>54</v>
      </c>
      <c r="Q109" s="8" t="s">
        <v>551</v>
      </c>
      <c r="R109" s="17" t="s">
        <v>585</v>
      </c>
      <c r="S109" s="8">
        <v>119.33</v>
      </c>
    </row>
    <row r="110" spans="1:19" x14ac:dyDescent="0.25">
      <c r="A110" s="8">
        <v>260700004</v>
      </c>
      <c r="B110" s="8" t="s">
        <v>17</v>
      </c>
      <c r="C110" s="8" t="s">
        <v>22</v>
      </c>
      <c r="D110" s="8" t="s">
        <v>422</v>
      </c>
      <c r="E110" s="9">
        <v>46248</v>
      </c>
      <c r="F110" s="8">
        <v>20602860958</v>
      </c>
      <c r="G110" s="8" t="s">
        <v>418</v>
      </c>
      <c r="H110" s="8" t="s">
        <v>27</v>
      </c>
      <c r="I110" s="7">
        <v>306.8</v>
      </c>
      <c r="J110" s="7">
        <v>30.68</v>
      </c>
      <c r="K110" s="7">
        <v>276.12</v>
      </c>
      <c r="L110" s="9"/>
      <c r="M110" s="9"/>
      <c r="N110" s="8" t="s">
        <v>423</v>
      </c>
      <c r="O110" s="8">
        <v>260</v>
      </c>
      <c r="P110" s="8">
        <v>46.8</v>
      </c>
      <c r="Q110" s="8" t="s">
        <v>551</v>
      </c>
      <c r="R110" s="17" t="s">
        <v>585</v>
      </c>
      <c r="S110" s="8">
        <v>103.42</v>
      </c>
    </row>
    <row r="111" spans="1:19" x14ac:dyDescent="0.25">
      <c r="A111">
        <v>260700012</v>
      </c>
      <c r="B111" t="s">
        <v>17</v>
      </c>
      <c r="C111" t="s">
        <v>22</v>
      </c>
      <c r="D111" t="s">
        <v>343</v>
      </c>
      <c r="E111" s="2">
        <f>DATE(2026,8,11)</f>
        <v>46245</v>
      </c>
      <c r="F111">
        <v>20603975899</v>
      </c>
      <c r="G111" t="s">
        <v>216</v>
      </c>
      <c r="H111" t="s">
        <v>27</v>
      </c>
      <c r="I111" s="16">
        <v>135</v>
      </c>
      <c r="J111" s="16"/>
      <c r="K111" s="16">
        <v>135</v>
      </c>
      <c r="L111" s="2">
        <f>DATE(2026,8,11)</f>
        <v>46245</v>
      </c>
      <c r="M111" s="2"/>
      <c r="N111" t="s">
        <v>342</v>
      </c>
    </row>
    <row r="112" spans="1:19" x14ac:dyDescent="0.25">
      <c r="A112">
        <v>260700012</v>
      </c>
      <c r="B112" t="s">
        <v>17</v>
      </c>
      <c r="C112" t="s">
        <v>22</v>
      </c>
      <c r="D112" t="s">
        <v>341</v>
      </c>
      <c r="E112" s="2">
        <f>DATE(2026,8,12)</f>
        <v>46246</v>
      </c>
      <c r="F112">
        <v>20603975899</v>
      </c>
      <c r="G112" t="s">
        <v>216</v>
      </c>
      <c r="H112" t="s">
        <v>27</v>
      </c>
      <c r="I112" s="16">
        <v>135</v>
      </c>
      <c r="J112" s="16"/>
      <c r="K112" s="16">
        <v>135</v>
      </c>
      <c r="L112" s="2">
        <f>DATE(2026,8,12)</f>
        <v>46246</v>
      </c>
      <c r="M112" s="2"/>
      <c r="N112" t="s">
        <v>342</v>
      </c>
    </row>
    <row r="113" spans="1:19" hidden="1" x14ac:dyDescent="0.25">
      <c r="A113" s="8">
        <v>260700014</v>
      </c>
      <c r="B113" s="8" t="s">
        <v>17</v>
      </c>
      <c r="C113" s="8" t="s">
        <v>22</v>
      </c>
      <c r="D113" s="8" t="s">
        <v>215</v>
      </c>
      <c r="E113" s="9">
        <f>DATE(2026,7,16)</f>
        <v>46219</v>
      </c>
      <c r="F113" s="8">
        <v>20603975899</v>
      </c>
      <c r="G113" s="8" t="s">
        <v>216</v>
      </c>
      <c r="H113" s="8" t="s">
        <v>27</v>
      </c>
      <c r="I113" s="7">
        <v>687</v>
      </c>
      <c r="J113" s="7"/>
      <c r="K113" s="7">
        <v>687</v>
      </c>
      <c r="L113" s="9">
        <f>DATE(2026,7,16)</f>
        <v>46219</v>
      </c>
      <c r="M113" s="9" t="s">
        <v>381</v>
      </c>
      <c r="N113" s="8" t="s">
        <v>217</v>
      </c>
      <c r="O113" s="8"/>
      <c r="P113" s="8"/>
      <c r="Q113" s="8"/>
      <c r="R113" s="8"/>
      <c r="S113" s="8"/>
    </row>
    <row r="114" spans="1:19" x14ac:dyDescent="0.25">
      <c r="B114" t="s">
        <v>17</v>
      </c>
      <c r="C114" t="s">
        <v>22</v>
      </c>
      <c r="D114" t="s">
        <v>273</v>
      </c>
      <c r="E114" s="2">
        <f>DATE(2026,8,7)</f>
        <v>46241</v>
      </c>
      <c r="F114">
        <v>20536180657</v>
      </c>
      <c r="G114" t="s">
        <v>274</v>
      </c>
      <c r="H114" t="s">
        <v>27</v>
      </c>
      <c r="I114" s="1">
        <v>3113</v>
      </c>
      <c r="J114" s="1"/>
      <c r="K114" s="1">
        <v>3113</v>
      </c>
      <c r="L114" s="2">
        <f>DATE(2026,8,7)</f>
        <v>46241</v>
      </c>
      <c r="M114" s="2"/>
      <c r="N114" t="s">
        <v>275</v>
      </c>
      <c r="O114">
        <v>2830</v>
      </c>
      <c r="P114">
        <v>0</v>
      </c>
      <c r="Q114" t="s">
        <v>556</v>
      </c>
      <c r="R114" s="22" t="s">
        <v>557</v>
      </c>
    </row>
    <row r="115" spans="1:19" x14ac:dyDescent="0.25">
      <c r="B115" t="s">
        <v>17</v>
      </c>
      <c r="C115" t="s">
        <v>451</v>
      </c>
      <c r="D115" t="s">
        <v>459</v>
      </c>
      <c r="E115" s="2">
        <v>46241</v>
      </c>
      <c r="F115">
        <v>20536180657</v>
      </c>
      <c r="G115" t="s">
        <v>274</v>
      </c>
      <c r="H115" t="s">
        <v>27</v>
      </c>
      <c r="I115" s="1">
        <v>-3113</v>
      </c>
      <c r="J115" s="1">
        <f>+Tabla1[[#This Row],[Importe]]*0.12</f>
        <v>-373.56</v>
      </c>
      <c r="K115" s="1">
        <v>-3113</v>
      </c>
      <c r="L115" s="2"/>
      <c r="M115" s="2"/>
      <c r="N115" t="s">
        <v>460</v>
      </c>
      <c r="O115">
        <v>-2432.0300000000002</v>
      </c>
      <c r="P115">
        <v>-437.77</v>
      </c>
      <c r="Q115" t="s">
        <v>551</v>
      </c>
      <c r="R115" s="22" t="s">
        <v>557</v>
      </c>
    </row>
    <row r="116" spans="1:19" x14ac:dyDescent="0.25">
      <c r="B116" t="s">
        <v>15</v>
      </c>
      <c r="C116" t="s">
        <v>7</v>
      </c>
      <c r="D116" t="s">
        <v>297</v>
      </c>
      <c r="E116" s="2">
        <f>DATE(2026,8,13)</f>
        <v>46247</v>
      </c>
      <c r="F116">
        <v>10726172591</v>
      </c>
      <c r="G116" t="s">
        <v>298</v>
      </c>
      <c r="H116" t="s">
        <v>11</v>
      </c>
      <c r="I116" s="1">
        <v>1100</v>
      </c>
      <c r="J116" s="1"/>
      <c r="K116" s="1">
        <v>1100</v>
      </c>
      <c r="L116" s="2">
        <f>DATE(2026,8,13)</f>
        <v>46247</v>
      </c>
      <c r="M116" s="2"/>
      <c r="N116" t="s">
        <v>299</v>
      </c>
      <c r="O116">
        <v>1100</v>
      </c>
      <c r="P116">
        <v>0</v>
      </c>
      <c r="Q116" t="s">
        <v>7</v>
      </c>
      <c r="R116" s="22" t="s">
        <v>557</v>
      </c>
    </row>
    <row r="117" spans="1:19" hidden="1" x14ac:dyDescent="0.25">
      <c r="A117">
        <v>260600003</v>
      </c>
      <c r="B117" t="s">
        <v>17</v>
      </c>
      <c r="C117" t="s">
        <v>7</v>
      </c>
      <c r="D117" t="s">
        <v>185</v>
      </c>
      <c r="E117" s="2">
        <f t="shared" ref="E117:E122" si="1">DATE(2026,7,21)</f>
        <v>46224</v>
      </c>
      <c r="F117">
        <v>10458482387</v>
      </c>
      <c r="G117" t="s">
        <v>186</v>
      </c>
      <c r="H117" t="s">
        <v>27</v>
      </c>
      <c r="I117" s="1">
        <v>160</v>
      </c>
      <c r="J117" s="1"/>
      <c r="K117" s="1">
        <v>160</v>
      </c>
      <c r="L117" s="2">
        <f t="shared" ref="L117:L122" si="2">DATE(2026,7,21)</f>
        <v>46224</v>
      </c>
      <c r="M117" s="2" t="s">
        <v>383</v>
      </c>
      <c r="N117" t="s">
        <v>187</v>
      </c>
    </row>
    <row r="118" spans="1:19" hidden="1" x14ac:dyDescent="0.25">
      <c r="A118">
        <v>260600003</v>
      </c>
      <c r="B118" t="s">
        <v>17</v>
      </c>
      <c r="C118" t="s">
        <v>7</v>
      </c>
      <c r="D118" t="s">
        <v>188</v>
      </c>
      <c r="E118" s="2">
        <f t="shared" si="1"/>
        <v>46224</v>
      </c>
      <c r="F118">
        <v>10458482387</v>
      </c>
      <c r="G118" t="s">
        <v>186</v>
      </c>
      <c r="H118" t="s">
        <v>27</v>
      </c>
      <c r="I118" s="1">
        <v>80</v>
      </c>
      <c r="J118" s="1"/>
      <c r="K118" s="1">
        <v>80</v>
      </c>
      <c r="L118" s="2">
        <f t="shared" si="2"/>
        <v>46224</v>
      </c>
      <c r="M118" s="2" t="s">
        <v>383</v>
      </c>
      <c r="N118" t="s">
        <v>189</v>
      </c>
    </row>
    <row r="119" spans="1:19" hidden="1" x14ac:dyDescent="0.25">
      <c r="A119" s="8">
        <v>260700018</v>
      </c>
      <c r="B119" s="8" t="s">
        <v>17</v>
      </c>
      <c r="C119" s="8" t="s">
        <v>7</v>
      </c>
      <c r="D119" s="8" t="s">
        <v>190</v>
      </c>
      <c r="E119" s="9">
        <f t="shared" si="1"/>
        <v>46224</v>
      </c>
      <c r="F119" s="8">
        <v>10458482387</v>
      </c>
      <c r="G119" s="8" t="s">
        <v>186</v>
      </c>
      <c r="H119" s="8" t="s">
        <v>27</v>
      </c>
      <c r="I119" s="7">
        <v>80</v>
      </c>
      <c r="J119" s="7"/>
      <c r="K119" s="7">
        <v>80</v>
      </c>
      <c r="L119" s="9">
        <f t="shared" si="2"/>
        <v>46224</v>
      </c>
      <c r="M119" s="9" t="s">
        <v>383</v>
      </c>
      <c r="N119" s="8" t="s">
        <v>191</v>
      </c>
      <c r="O119" s="8"/>
      <c r="P119" s="8"/>
      <c r="Q119" s="8"/>
      <c r="R119" s="8"/>
      <c r="S119" s="8"/>
    </row>
    <row r="120" spans="1:19" hidden="1" x14ac:dyDescent="0.25">
      <c r="A120" s="8">
        <v>260700018</v>
      </c>
      <c r="B120" s="8" t="s">
        <v>17</v>
      </c>
      <c r="C120" s="8" t="s">
        <v>7</v>
      </c>
      <c r="D120" s="8" t="s">
        <v>192</v>
      </c>
      <c r="E120" s="9">
        <f t="shared" si="1"/>
        <v>46224</v>
      </c>
      <c r="F120" s="8">
        <v>10458482387</v>
      </c>
      <c r="G120" s="8" t="s">
        <v>186</v>
      </c>
      <c r="H120" s="8" t="s">
        <v>27</v>
      </c>
      <c r="I120" s="7">
        <v>160</v>
      </c>
      <c r="J120" s="7"/>
      <c r="K120" s="7">
        <v>160</v>
      </c>
      <c r="L120" s="9">
        <f t="shared" si="2"/>
        <v>46224</v>
      </c>
      <c r="M120" s="9" t="s">
        <v>383</v>
      </c>
      <c r="N120" s="8" t="s">
        <v>193</v>
      </c>
      <c r="O120" s="8"/>
      <c r="P120" s="8"/>
      <c r="Q120" s="8"/>
      <c r="R120" s="8"/>
      <c r="S120" s="8"/>
    </row>
    <row r="121" spans="1:19" hidden="1" x14ac:dyDescent="0.25">
      <c r="A121">
        <v>260600002</v>
      </c>
      <c r="B121" t="s">
        <v>17</v>
      </c>
      <c r="C121" t="s">
        <v>7</v>
      </c>
      <c r="D121" t="s">
        <v>194</v>
      </c>
      <c r="E121" s="2">
        <f t="shared" si="1"/>
        <v>46224</v>
      </c>
      <c r="F121">
        <v>10458482387</v>
      </c>
      <c r="G121" t="s">
        <v>186</v>
      </c>
      <c r="H121" t="s">
        <v>27</v>
      </c>
      <c r="I121" s="1">
        <v>80</v>
      </c>
      <c r="J121" s="1"/>
      <c r="K121" s="1">
        <v>80</v>
      </c>
      <c r="L121" s="2">
        <f t="shared" si="2"/>
        <v>46224</v>
      </c>
      <c r="M121" s="2" t="s">
        <v>382</v>
      </c>
      <c r="N121" t="s">
        <v>195</v>
      </c>
    </row>
    <row r="122" spans="1:19" hidden="1" x14ac:dyDescent="0.25">
      <c r="A122">
        <v>260600002</v>
      </c>
      <c r="B122" t="s">
        <v>17</v>
      </c>
      <c r="C122" t="s">
        <v>7</v>
      </c>
      <c r="D122" t="s">
        <v>196</v>
      </c>
      <c r="E122" s="2">
        <f t="shared" si="1"/>
        <v>46224</v>
      </c>
      <c r="F122">
        <v>10458482387</v>
      </c>
      <c r="G122" t="s">
        <v>186</v>
      </c>
      <c r="H122" t="s">
        <v>27</v>
      </c>
      <c r="I122" s="1">
        <v>160</v>
      </c>
      <c r="J122" s="1"/>
      <c r="K122" s="1">
        <v>160</v>
      </c>
      <c r="L122" s="2">
        <f t="shared" si="2"/>
        <v>46224</v>
      </c>
      <c r="M122" s="2" t="s">
        <v>382</v>
      </c>
      <c r="N122" t="s">
        <v>197</v>
      </c>
    </row>
    <row r="123" spans="1:19" x14ac:dyDescent="0.25">
      <c r="A123">
        <v>260700004</v>
      </c>
      <c r="B123" t="s">
        <v>17</v>
      </c>
      <c r="C123" t="s">
        <v>22</v>
      </c>
      <c r="D123" t="s">
        <v>338</v>
      </c>
      <c r="E123" s="2">
        <f>DATE(2026,8,1)</f>
        <v>46235</v>
      </c>
      <c r="F123">
        <v>20525581315</v>
      </c>
      <c r="G123" t="s">
        <v>339</v>
      </c>
      <c r="H123" t="s">
        <v>11</v>
      </c>
      <c r="I123" s="1">
        <v>1120</v>
      </c>
      <c r="J123" s="1">
        <v>112</v>
      </c>
      <c r="K123" s="1">
        <v>1008</v>
      </c>
      <c r="L123" s="2">
        <f>DATE(2026,8,1)</f>
        <v>46235</v>
      </c>
      <c r="M123" s="2"/>
      <c r="N123" t="s">
        <v>340</v>
      </c>
      <c r="O123">
        <v>949.15</v>
      </c>
      <c r="P123">
        <v>170.85</v>
      </c>
      <c r="Q123" t="s">
        <v>551</v>
      </c>
      <c r="R123" s="22" t="s">
        <v>585</v>
      </c>
      <c r="S123">
        <v>112</v>
      </c>
    </row>
    <row r="124" spans="1:19" hidden="1" x14ac:dyDescent="0.25">
      <c r="B124" t="s">
        <v>15</v>
      </c>
      <c r="C124" t="s">
        <v>7</v>
      </c>
      <c r="D124" t="s">
        <v>162</v>
      </c>
      <c r="E124" s="2">
        <f>DATE(2026,7,1)</f>
        <v>46204</v>
      </c>
      <c r="F124">
        <v>10443842263</v>
      </c>
      <c r="G124" t="s">
        <v>163</v>
      </c>
      <c r="H124" t="s">
        <v>11</v>
      </c>
      <c r="I124" s="1">
        <v>100</v>
      </c>
      <c r="J124" s="1"/>
      <c r="K124" s="1">
        <v>100</v>
      </c>
      <c r="L124" s="2">
        <f>DATE(2026,7,1)</f>
        <v>46204</v>
      </c>
      <c r="M124" s="2"/>
      <c r="N124" t="s">
        <v>164</v>
      </c>
    </row>
    <row r="125" spans="1:19" hidden="1" x14ac:dyDescent="0.25">
      <c r="B125" t="s">
        <v>15</v>
      </c>
      <c r="C125" t="s">
        <v>22</v>
      </c>
      <c r="D125" t="s">
        <v>353</v>
      </c>
      <c r="E125" s="2">
        <f>DATE(2026,7,31)</f>
        <v>46234</v>
      </c>
      <c r="F125">
        <v>20614765209</v>
      </c>
      <c r="G125" t="s">
        <v>354</v>
      </c>
      <c r="H125" t="s">
        <v>11</v>
      </c>
      <c r="I125" s="1">
        <v>590</v>
      </c>
      <c r="J125" s="1"/>
      <c r="K125" s="1">
        <v>590</v>
      </c>
      <c r="L125" s="2">
        <f>DATE(2026,7,31)</f>
        <v>46234</v>
      </c>
      <c r="M125" s="2"/>
      <c r="N125" t="s">
        <v>355</v>
      </c>
    </row>
    <row r="126" spans="1:19" hidden="1" x14ac:dyDescent="0.25">
      <c r="B126" t="s">
        <v>15</v>
      </c>
      <c r="C126" t="s">
        <v>22</v>
      </c>
      <c r="D126" t="s">
        <v>356</v>
      </c>
      <c r="E126" s="2">
        <f>DATE(2026,7,31)</f>
        <v>46234</v>
      </c>
      <c r="F126">
        <v>20614765209</v>
      </c>
      <c r="G126" t="s">
        <v>354</v>
      </c>
      <c r="H126" t="s">
        <v>11</v>
      </c>
      <c r="I126" s="1">
        <v>59</v>
      </c>
      <c r="J126" s="1"/>
      <c r="K126" s="1">
        <v>59</v>
      </c>
      <c r="L126" s="2">
        <f>DATE(2026,7,31)</f>
        <v>46234</v>
      </c>
      <c r="M126" s="2"/>
      <c r="N126" t="s">
        <v>357</v>
      </c>
    </row>
    <row r="127" spans="1:19" hidden="1" x14ac:dyDescent="0.25">
      <c r="B127" t="s">
        <v>15</v>
      </c>
      <c r="C127" t="s">
        <v>22</v>
      </c>
      <c r="D127" t="s">
        <v>358</v>
      </c>
      <c r="E127" s="2">
        <f>DATE(2026,7,31)</f>
        <v>46234</v>
      </c>
      <c r="F127">
        <v>20614765209</v>
      </c>
      <c r="G127" t="s">
        <v>354</v>
      </c>
      <c r="H127" t="s">
        <v>11</v>
      </c>
      <c r="I127" s="1">
        <v>472</v>
      </c>
      <c r="J127" s="1"/>
      <c r="K127" s="1">
        <v>472</v>
      </c>
      <c r="L127" s="2">
        <f>DATE(2026,7,31)</f>
        <v>46234</v>
      </c>
      <c r="M127" s="2"/>
      <c r="N127" t="s">
        <v>359</v>
      </c>
    </row>
    <row r="128" spans="1:19" x14ac:dyDescent="0.25">
      <c r="B128" t="s">
        <v>15</v>
      </c>
      <c r="C128" t="s">
        <v>22</v>
      </c>
      <c r="D128" t="s">
        <v>360</v>
      </c>
      <c r="E128" s="2">
        <f>DATE(2026,8,12)</f>
        <v>46246</v>
      </c>
      <c r="F128">
        <v>20615850609</v>
      </c>
      <c r="G128" t="s">
        <v>361</v>
      </c>
      <c r="H128" t="s">
        <v>27</v>
      </c>
      <c r="I128" s="1">
        <v>781.9</v>
      </c>
      <c r="J128" s="1">
        <v>78.19</v>
      </c>
      <c r="K128" s="1">
        <v>703.71</v>
      </c>
      <c r="L128" s="2">
        <f>DATE(2026,8,12)</f>
        <v>46246</v>
      </c>
      <c r="M128" s="2"/>
      <c r="N128" t="s">
        <v>362</v>
      </c>
      <c r="O128">
        <v>662.63</v>
      </c>
      <c r="P128">
        <v>119.27</v>
      </c>
      <c r="Q128" t="s">
        <v>551</v>
      </c>
      <c r="R128" s="22" t="s">
        <v>585</v>
      </c>
      <c r="S128">
        <v>264</v>
      </c>
    </row>
    <row r="129" spans="1:19" hidden="1" x14ac:dyDescent="0.25">
      <c r="A129">
        <v>260700005</v>
      </c>
      <c r="B129" t="s">
        <v>17</v>
      </c>
      <c r="C129" t="s">
        <v>7</v>
      </c>
      <c r="D129" t="s">
        <v>172</v>
      </c>
      <c r="E129" s="2">
        <f>DATE(2026,7,13)</f>
        <v>46216</v>
      </c>
      <c r="F129">
        <v>10238549553</v>
      </c>
      <c r="G129" t="s">
        <v>173</v>
      </c>
      <c r="H129" t="s">
        <v>27</v>
      </c>
      <c r="I129" s="1">
        <v>75</v>
      </c>
      <c r="J129" s="1">
        <v>6</v>
      </c>
      <c r="K129" s="1">
        <v>69</v>
      </c>
      <c r="L129" s="2">
        <f>DATE(2026,7,31)</f>
        <v>46234</v>
      </c>
      <c r="M129" s="2"/>
      <c r="N129" t="s">
        <v>174</v>
      </c>
    </row>
    <row r="130" spans="1:19" x14ac:dyDescent="0.25">
      <c r="B130" t="s">
        <v>15</v>
      </c>
      <c r="C130" t="s">
        <v>22</v>
      </c>
      <c r="D130" t="s">
        <v>49</v>
      </c>
      <c r="E130" s="2">
        <v>46237</v>
      </c>
      <c r="F130">
        <v>10024341238</v>
      </c>
      <c r="G130" t="s">
        <v>50</v>
      </c>
      <c r="H130" t="s">
        <v>11</v>
      </c>
      <c r="I130" s="1">
        <v>365</v>
      </c>
      <c r="J130" s="1"/>
      <c r="K130" s="1">
        <f>+I130-J130</f>
        <v>365</v>
      </c>
      <c r="L130" s="2">
        <v>46237</v>
      </c>
      <c r="M130" s="2" t="s">
        <v>247</v>
      </c>
      <c r="N130" t="s">
        <v>51</v>
      </c>
    </row>
    <row r="131" spans="1:19" x14ac:dyDescent="0.25">
      <c r="A131">
        <v>260800003</v>
      </c>
      <c r="B131" t="s">
        <v>17</v>
      </c>
      <c r="C131" t="s">
        <v>22</v>
      </c>
      <c r="D131" t="s">
        <v>378</v>
      </c>
      <c r="E131" s="2">
        <f>DATE(2026,8,8)</f>
        <v>46242</v>
      </c>
      <c r="F131">
        <v>20490257188</v>
      </c>
      <c r="G131" t="s">
        <v>379</v>
      </c>
      <c r="H131" t="s">
        <v>11</v>
      </c>
      <c r="I131" s="1">
        <v>520.38</v>
      </c>
      <c r="J131" s="1"/>
      <c r="K131" s="1">
        <v>520.38</v>
      </c>
      <c r="L131" s="2">
        <f>DATE(2026,8,25)</f>
        <v>46259</v>
      </c>
      <c r="M131" s="2"/>
      <c r="N131" t="s">
        <v>380</v>
      </c>
      <c r="O131">
        <v>441</v>
      </c>
      <c r="P131">
        <v>79.38</v>
      </c>
      <c r="Q131" t="s">
        <v>551</v>
      </c>
      <c r="R131" s="22" t="s">
        <v>557</v>
      </c>
    </row>
    <row r="132" spans="1:19" s="8" customFormat="1" x14ac:dyDescent="0.25">
      <c r="A132">
        <v>260800005</v>
      </c>
      <c r="B132" t="s">
        <v>17</v>
      </c>
      <c r="C132" t="s">
        <v>22</v>
      </c>
      <c r="D132" t="s">
        <v>413</v>
      </c>
      <c r="E132" s="2">
        <v>46247</v>
      </c>
      <c r="F132">
        <v>20490257188</v>
      </c>
      <c r="G132" t="s">
        <v>379</v>
      </c>
      <c r="H132" t="s">
        <v>11</v>
      </c>
      <c r="I132" s="1">
        <v>4830</v>
      </c>
      <c r="J132" s="1">
        <f>+Tabla1[[#This Row],[Importe]]*0.12</f>
        <v>579.6</v>
      </c>
      <c r="K132" s="1">
        <v>4830</v>
      </c>
      <c r="L132" s="2"/>
      <c r="M132" s="2"/>
      <c r="N132" t="s">
        <v>414</v>
      </c>
      <c r="O132">
        <v>4371.04</v>
      </c>
      <c r="P132">
        <v>458.96</v>
      </c>
      <c r="Q132" t="s">
        <v>551</v>
      </c>
      <c r="R132" s="22" t="s">
        <v>557</v>
      </c>
      <c r="S132"/>
    </row>
    <row r="133" spans="1:19" x14ac:dyDescent="0.25">
      <c r="A133" s="8">
        <v>260700010</v>
      </c>
      <c r="B133" s="8" t="s">
        <v>17</v>
      </c>
      <c r="C133" s="8" t="s">
        <v>22</v>
      </c>
      <c r="D133" s="8" t="s">
        <v>469</v>
      </c>
      <c r="E133" s="9">
        <f>DATE(2026,8,18)</f>
        <v>46252</v>
      </c>
      <c r="F133" s="8">
        <v>20505670443</v>
      </c>
      <c r="G133" s="8" t="s">
        <v>470</v>
      </c>
      <c r="H133" s="8" t="s">
        <v>27</v>
      </c>
      <c r="I133" s="7">
        <v>301.39999999999998</v>
      </c>
      <c r="J133" s="7"/>
      <c r="K133" s="7">
        <v>301.39999999999998</v>
      </c>
      <c r="L133" s="9">
        <f>DATE(2026,9,17)</f>
        <v>46282</v>
      </c>
      <c r="M133" s="9"/>
      <c r="N133" s="8" t="s">
        <v>471</v>
      </c>
      <c r="O133" s="8">
        <v>274</v>
      </c>
      <c r="P133" s="8">
        <v>0</v>
      </c>
      <c r="Q133" s="8" t="s">
        <v>556</v>
      </c>
      <c r="R133" s="17" t="s">
        <v>557</v>
      </c>
      <c r="S133" s="8"/>
    </row>
    <row r="134" spans="1:19" hidden="1" x14ac:dyDescent="0.25">
      <c r="A134" s="8">
        <v>260700005</v>
      </c>
      <c r="B134" s="8" t="s">
        <v>17</v>
      </c>
      <c r="C134" s="8" t="s">
        <v>22</v>
      </c>
      <c r="D134" s="8" t="s">
        <v>105</v>
      </c>
      <c r="E134" s="9">
        <f>DATE(2026,7,6)</f>
        <v>46209</v>
      </c>
      <c r="F134" s="8">
        <v>20505670443</v>
      </c>
      <c r="G134" s="8" t="s">
        <v>106</v>
      </c>
      <c r="H134" s="8" t="s">
        <v>27</v>
      </c>
      <c r="I134" s="7">
        <v>613.79999999999995</v>
      </c>
      <c r="J134" s="7"/>
      <c r="K134" s="7">
        <f>+I134-J134</f>
        <v>613.79999999999995</v>
      </c>
      <c r="L134" s="9">
        <f>DATE(2026,8,5)</f>
        <v>46239</v>
      </c>
      <c r="M134" s="9"/>
      <c r="N134" s="8" t="s">
        <v>107</v>
      </c>
      <c r="O134" s="8"/>
      <c r="P134" s="8"/>
      <c r="Q134" s="8"/>
      <c r="R134" s="8"/>
      <c r="S134" s="8"/>
    </row>
    <row r="135" spans="1:19" hidden="1" x14ac:dyDescent="0.25">
      <c r="A135" s="8">
        <v>260700005</v>
      </c>
      <c r="B135" s="8" t="s">
        <v>17</v>
      </c>
      <c r="C135" s="8" t="s">
        <v>22</v>
      </c>
      <c r="D135" s="8" t="s">
        <v>110</v>
      </c>
      <c r="E135" s="9">
        <f>DATE(2026,7,11)</f>
        <v>46214</v>
      </c>
      <c r="F135" s="8">
        <v>20505670443</v>
      </c>
      <c r="G135" s="8" t="s">
        <v>106</v>
      </c>
      <c r="H135" s="8" t="s">
        <v>27</v>
      </c>
      <c r="I135" s="7">
        <v>330.72</v>
      </c>
      <c r="J135" s="7"/>
      <c r="K135" s="7">
        <f>+I135-J135</f>
        <v>330.72</v>
      </c>
      <c r="L135" s="9">
        <f>DATE(2026,8,10)</f>
        <v>46244</v>
      </c>
      <c r="M135" s="9"/>
      <c r="N135" s="8" t="s">
        <v>111</v>
      </c>
      <c r="O135" s="8"/>
      <c r="P135" s="8"/>
      <c r="Q135" s="8"/>
      <c r="R135" s="8"/>
      <c r="S135" s="8"/>
    </row>
    <row r="136" spans="1:19" hidden="1" x14ac:dyDescent="0.25">
      <c r="A136" s="8">
        <v>260700005</v>
      </c>
      <c r="B136" s="8" t="s">
        <v>17</v>
      </c>
      <c r="C136" s="8" t="s">
        <v>22</v>
      </c>
      <c r="D136" s="8" t="s">
        <v>112</v>
      </c>
      <c r="E136" s="9">
        <f>DATE(2026,7,11)</f>
        <v>46214</v>
      </c>
      <c r="F136" s="8">
        <v>20505670443</v>
      </c>
      <c r="G136" s="8" t="s">
        <v>106</v>
      </c>
      <c r="H136" s="8" t="s">
        <v>27</v>
      </c>
      <c r="I136" s="7">
        <v>230.37</v>
      </c>
      <c r="J136" s="7"/>
      <c r="K136" s="7">
        <f>+I136-J136</f>
        <v>230.37</v>
      </c>
      <c r="L136" s="9">
        <f>DATE(2026,8,10)</f>
        <v>46244</v>
      </c>
      <c r="M136" s="9"/>
      <c r="N136" s="8" t="s">
        <v>113</v>
      </c>
      <c r="O136" s="8"/>
      <c r="P136" s="8"/>
      <c r="Q136" s="8"/>
      <c r="R136" s="8"/>
      <c r="S136" s="8"/>
    </row>
    <row r="137" spans="1:19" hidden="1" x14ac:dyDescent="0.25">
      <c r="A137" s="8">
        <v>260700011</v>
      </c>
      <c r="B137" s="8" t="s">
        <v>17</v>
      </c>
      <c r="C137" s="8" t="s">
        <v>22</v>
      </c>
      <c r="D137" s="8" t="s">
        <v>108</v>
      </c>
      <c r="E137" s="9">
        <f>DATE(2026,7,14)</f>
        <v>46217</v>
      </c>
      <c r="F137" s="8">
        <v>20505670443</v>
      </c>
      <c r="G137" s="8" t="s">
        <v>106</v>
      </c>
      <c r="H137" s="8" t="s">
        <v>27</v>
      </c>
      <c r="I137" s="7">
        <v>226.6</v>
      </c>
      <c r="J137" s="7"/>
      <c r="K137" s="7">
        <f>+I137-J137</f>
        <v>226.6</v>
      </c>
      <c r="L137" s="9">
        <f>DATE(2026,8,13)</f>
        <v>46247</v>
      </c>
      <c r="M137" s="9"/>
      <c r="N137" s="8" t="s">
        <v>109</v>
      </c>
      <c r="O137" s="8"/>
      <c r="P137" s="8"/>
      <c r="Q137" s="8"/>
      <c r="R137" s="8"/>
      <c r="S137" s="8"/>
    </row>
    <row r="138" spans="1:19" hidden="1" x14ac:dyDescent="0.25">
      <c r="A138" s="8">
        <v>260700009</v>
      </c>
      <c r="B138" s="8" t="s">
        <v>17</v>
      </c>
      <c r="C138" s="8" t="s">
        <v>22</v>
      </c>
      <c r="D138" s="8" t="s">
        <v>114</v>
      </c>
      <c r="E138" s="9">
        <f>DATE(2026,7,20)</f>
        <v>46223</v>
      </c>
      <c r="F138" s="8">
        <v>20505670443</v>
      </c>
      <c r="G138" s="8" t="s">
        <v>106</v>
      </c>
      <c r="H138" s="8" t="s">
        <v>27</v>
      </c>
      <c r="I138" s="7">
        <v>521.4</v>
      </c>
      <c r="J138" s="7"/>
      <c r="K138" s="7">
        <f>+I138-J138</f>
        <v>521.4</v>
      </c>
      <c r="L138" s="9">
        <f>DATE(2026,8,19)</f>
        <v>46253</v>
      </c>
      <c r="M138" s="9"/>
      <c r="N138" s="8" t="s">
        <v>115</v>
      </c>
      <c r="O138" s="8"/>
      <c r="P138" s="8"/>
      <c r="Q138" s="8"/>
      <c r="R138" s="8"/>
      <c r="S138" s="8"/>
    </row>
    <row r="139" spans="1:19" x14ac:dyDescent="0.25">
      <c r="B139" t="s">
        <v>17</v>
      </c>
      <c r="C139" t="s">
        <v>22</v>
      </c>
      <c r="D139" t="s">
        <v>424</v>
      </c>
      <c r="E139" s="2">
        <v>46248</v>
      </c>
      <c r="F139">
        <v>20505670443</v>
      </c>
      <c r="G139" t="s">
        <v>106</v>
      </c>
      <c r="H139" t="s">
        <v>27</v>
      </c>
      <c r="I139" s="1">
        <v>744.72</v>
      </c>
      <c r="J139" s="1">
        <f>+Tabla1[[#This Row],[Importe]]*0.12</f>
        <v>89.366399999999999</v>
      </c>
      <c r="K139" s="1">
        <f>+Tabla1[[#This Row],[Importe]]-Tabla1[[#This Row],[Detracción]]</f>
        <v>655.35360000000003</v>
      </c>
      <c r="L139" s="2">
        <v>46278</v>
      </c>
      <c r="M139" s="2"/>
      <c r="N139" t="s">
        <v>425</v>
      </c>
      <c r="O139">
        <v>677.02</v>
      </c>
      <c r="P139">
        <v>0</v>
      </c>
      <c r="Q139" t="s">
        <v>556</v>
      </c>
      <c r="R139" s="22" t="s">
        <v>557</v>
      </c>
    </row>
    <row r="140" spans="1:19" x14ac:dyDescent="0.25">
      <c r="A140" s="8">
        <v>260700020</v>
      </c>
      <c r="B140" s="8" t="s">
        <v>17</v>
      </c>
      <c r="C140" s="8" t="s">
        <v>7</v>
      </c>
      <c r="D140" s="8" t="s">
        <v>513</v>
      </c>
      <c r="E140" s="9">
        <f>DATE(2026,8,14)</f>
        <v>46248</v>
      </c>
      <c r="F140" s="8">
        <v>10490200784</v>
      </c>
      <c r="G140" s="8" t="s">
        <v>514</v>
      </c>
      <c r="H140" s="8" t="s">
        <v>27</v>
      </c>
      <c r="I140" s="7">
        <v>700</v>
      </c>
      <c r="J140" s="7"/>
      <c r="K140" s="7">
        <v>700</v>
      </c>
      <c r="L140" s="9">
        <f>DATE(2026,8,14)</f>
        <v>46248</v>
      </c>
      <c r="M140" s="9"/>
      <c r="N140" s="8" t="s">
        <v>515</v>
      </c>
      <c r="O140" s="8">
        <v>700</v>
      </c>
      <c r="P140" s="8">
        <v>0</v>
      </c>
      <c r="Q140" s="8" t="s">
        <v>7</v>
      </c>
      <c r="R140" s="17" t="s">
        <v>557</v>
      </c>
      <c r="S140" s="8"/>
    </row>
    <row r="141" spans="1:19" hidden="1" x14ac:dyDescent="0.25">
      <c r="B141" t="s">
        <v>15</v>
      </c>
      <c r="C141" t="s">
        <v>7</v>
      </c>
      <c r="D141" t="s">
        <v>252</v>
      </c>
      <c r="E141" s="2">
        <f>DATE(2026,7,10)</f>
        <v>46213</v>
      </c>
      <c r="F141">
        <v>10181817173</v>
      </c>
      <c r="G141" t="s">
        <v>253</v>
      </c>
      <c r="H141" t="s">
        <v>27</v>
      </c>
      <c r="I141" s="1">
        <v>75</v>
      </c>
      <c r="J141" s="1"/>
      <c r="K141" s="1">
        <f>+I141-J141</f>
        <v>75</v>
      </c>
      <c r="L141" s="2">
        <f>DATE(2026,7,10)</f>
        <v>46213</v>
      </c>
      <c r="M141" s="2" t="s">
        <v>256</v>
      </c>
      <c r="N141" t="s">
        <v>254</v>
      </c>
    </row>
    <row r="142" spans="1:19" hidden="1" x14ac:dyDescent="0.25">
      <c r="B142" t="s">
        <v>15</v>
      </c>
      <c r="C142" t="s">
        <v>7</v>
      </c>
      <c r="D142" t="s">
        <v>255</v>
      </c>
      <c r="E142" s="2">
        <f>DATE(2026,7,10)</f>
        <v>46213</v>
      </c>
      <c r="F142">
        <v>10181817173</v>
      </c>
      <c r="G142" t="s">
        <v>253</v>
      </c>
      <c r="H142" t="s">
        <v>27</v>
      </c>
      <c r="I142" s="1">
        <v>75</v>
      </c>
      <c r="J142" s="1"/>
      <c r="K142" s="1">
        <f>+I142-J142</f>
        <v>75</v>
      </c>
      <c r="L142" s="2">
        <f>DATE(2026,7,10)</f>
        <v>46213</v>
      </c>
      <c r="M142" s="2" t="s">
        <v>256</v>
      </c>
      <c r="N142" t="s">
        <v>254</v>
      </c>
    </row>
    <row r="143" spans="1:19" x14ac:dyDescent="0.25">
      <c r="A143">
        <v>260800005</v>
      </c>
      <c r="B143" t="s">
        <v>17</v>
      </c>
      <c r="C143" t="s">
        <v>22</v>
      </c>
      <c r="D143" t="s">
        <v>391</v>
      </c>
      <c r="E143" s="2">
        <v>46247</v>
      </c>
      <c r="F143">
        <v>20309001037</v>
      </c>
      <c r="G143" t="s">
        <v>392</v>
      </c>
      <c r="H143" t="s">
        <v>27</v>
      </c>
      <c r="I143" s="1">
        <v>1684.76</v>
      </c>
      <c r="J143" s="1">
        <f>+Tabla1[[#This Row],[Importe]]*0.12</f>
        <v>202.1712</v>
      </c>
      <c r="K143" s="1">
        <v>1684.76</v>
      </c>
      <c r="L143" s="2"/>
      <c r="M143" s="2"/>
      <c r="N143" t="s">
        <v>393</v>
      </c>
      <c r="O143">
        <v>1684.76</v>
      </c>
      <c r="P143">
        <v>0</v>
      </c>
      <c r="Q143" t="s">
        <v>581</v>
      </c>
      <c r="R143" s="22" t="s">
        <v>557</v>
      </c>
    </row>
    <row r="144" spans="1:19" x14ac:dyDescent="0.25">
      <c r="B144" t="s">
        <v>17</v>
      </c>
      <c r="C144" t="s">
        <v>22</v>
      </c>
      <c r="D144" t="s">
        <v>308</v>
      </c>
      <c r="E144" s="2">
        <f>DATE(2026,8,11)</f>
        <v>46245</v>
      </c>
      <c r="F144">
        <v>20431871808</v>
      </c>
      <c r="G144" t="s">
        <v>309</v>
      </c>
      <c r="H144" t="s">
        <v>27</v>
      </c>
      <c r="I144" s="1">
        <v>61.25</v>
      </c>
      <c r="J144" s="1"/>
      <c r="K144" s="1">
        <v>61.25</v>
      </c>
      <c r="L144" s="2">
        <f>DATE(2026,8,11)</f>
        <v>46245</v>
      </c>
      <c r="M144" s="2"/>
      <c r="N144" t="s">
        <v>310</v>
      </c>
    </row>
    <row r="145" spans="1:19" x14ac:dyDescent="0.25">
      <c r="B145" t="s">
        <v>17</v>
      </c>
      <c r="C145" t="s">
        <v>22</v>
      </c>
      <c r="D145" t="s">
        <v>311</v>
      </c>
      <c r="E145" s="2">
        <f>DATE(2026,8,12)</f>
        <v>46246</v>
      </c>
      <c r="F145">
        <v>20431871808</v>
      </c>
      <c r="G145" t="s">
        <v>309</v>
      </c>
      <c r="H145" t="s">
        <v>27</v>
      </c>
      <c r="I145" s="1">
        <v>551.25</v>
      </c>
      <c r="J145" s="1"/>
      <c r="K145" s="1">
        <v>551.25</v>
      </c>
      <c r="L145" s="2">
        <f>DATE(2026,8,12)</f>
        <v>46246</v>
      </c>
      <c r="M145" s="2"/>
      <c r="N145" t="s">
        <v>310</v>
      </c>
    </row>
    <row r="146" spans="1:19" x14ac:dyDescent="0.25">
      <c r="B146" t="s">
        <v>17</v>
      </c>
      <c r="C146" t="s">
        <v>22</v>
      </c>
      <c r="D146" t="s">
        <v>426</v>
      </c>
      <c r="E146" s="2">
        <v>46248</v>
      </c>
      <c r="F146">
        <v>20431871808</v>
      </c>
      <c r="G146" t="s">
        <v>309</v>
      </c>
      <c r="H146" t="s">
        <v>27</v>
      </c>
      <c r="I146" s="1">
        <v>105</v>
      </c>
      <c r="J146" s="1">
        <f>+Tabla1[[#This Row],[Importe]]*0.12</f>
        <v>12.6</v>
      </c>
      <c r="K146" s="1">
        <v>105</v>
      </c>
      <c r="L146" s="2"/>
      <c r="M146" s="2"/>
      <c r="N146" t="s">
        <v>427</v>
      </c>
    </row>
    <row r="147" spans="1:19" x14ac:dyDescent="0.25">
      <c r="A147" s="8"/>
      <c r="B147" s="8" t="s">
        <v>17</v>
      </c>
      <c r="C147" s="8" t="s">
        <v>22</v>
      </c>
      <c r="D147" s="8" t="s">
        <v>501</v>
      </c>
      <c r="E147" s="9">
        <f>DATE(2026,8,19)</f>
        <v>46253</v>
      </c>
      <c r="F147" s="8">
        <v>20431871808</v>
      </c>
      <c r="G147" s="8" t="s">
        <v>309</v>
      </c>
      <c r="H147" s="8" t="s">
        <v>27</v>
      </c>
      <c r="I147" s="7">
        <v>333.17</v>
      </c>
      <c r="J147" s="7"/>
      <c r="K147" s="7">
        <v>333.17</v>
      </c>
      <c r="L147" s="9">
        <f>DATE(2026,8,19)</f>
        <v>46253</v>
      </c>
      <c r="M147" s="9"/>
      <c r="N147" s="8" t="s">
        <v>502</v>
      </c>
      <c r="O147" s="8"/>
      <c r="P147" s="8"/>
      <c r="Q147" s="8"/>
      <c r="R147" s="8"/>
      <c r="S147" s="8"/>
    </row>
    <row r="148" spans="1:19" hidden="1" x14ac:dyDescent="0.25">
      <c r="A148" s="8">
        <v>260500007</v>
      </c>
      <c r="B148" s="8" t="s">
        <v>17</v>
      </c>
      <c r="C148" s="8" t="s">
        <v>22</v>
      </c>
      <c r="D148" s="8" t="s">
        <v>232</v>
      </c>
      <c r="E148" s="9">
        <f>DATE(2026,4,1)</f>
        <v>46113</v>
      </c>
      <c r="F148" s="8">
        <v>20603386214</v>
      </c>
      <c r="G148" s="8" t="s">
        <v>127</v>
      </c>
      <c r="H148" s="8" t="s">
        <v>27</v>
      </c>
      <c r="I148" s="7">
        <v>1181.4000000000001</v>
      </c>
      <c r="J148" s="7">
        <v>141.77000000000001</v>
      </c>
      <c r="K148" s="7">
        <v>1039.6300000000001</v>
      </c>
      <c r="L148" s="9">
        <f>DATE(2026,4,1)</f>
        <v>46113</v>
      </c>
      <c r="M148" s="9" t="s">
        <v>383</v>
      </c>
      <c r="N148" s="8" t="s">
        <v>233</v>
      </c>
      <c r="O148" s="8"/>
      <c r="P148" s="8"/>
      <c r="Q148" s="8"/>
      <c r="R148" s="8"/>
      <c r="S148" s="8"/>
    </row>
    <row r="149" spans="1:19" hidden="1" x14ac:dyDescent="0.25">
      <c r="A149" s="8">
        <v>260500002</v>
      </c>
      <c r="B149" s="8" t="s">
        <v>17</v>
      </c>
      <c r="C149" s="8" t="s">
        <v>22</v>
      </c>
      <c r="D149" s="8" t="s">
        <v>234</v>
      </c>
      <c r="E149" s="9">
        <f>DATE(2026,6,16)</f>
        <v>46189</v>
      </c>
      <c r="F149" s="8">
        <v>20603386214</v>
      </c>
      <c r="G149" s="8" t="s">
        <v>127</v>
      </c>
      <c r="H149" s="8" t="s">
        <v>11</v>
      </c>
      <c r="I149" s="7">
        <v>129.80000000000001</v>
      </c>
      <c r="J149" s="7"/>
      <c r="K149" s="7">
        <v>129.80000000000001</v>
      </c>
      <c r="L149" s="9">
        <f>DATE(2026,6,16)</f>
        <v>46189</v>
      </c>
      <c r="M149" s="9" t="s">
        <v>381</v>
      </c>
      <c r="N149" s="8" t="s">
        <v>235</v>
      </c>
      <c r="O149" s="8"/>
      <c r="P149" s="8"/>
      <c r="Q149" s="8"/>
      <c r="R149" s="8"/>
      <c r="S149" s="8"/>
    </row>
    <row r="150" spans="1:19" hidden="1" x14ac:dyDescent="0.25">
      <c r="A150" s="8">
        <v>260500010</v>
      </c>
      <c r="B150" s="8" t="s">
        <v>17</v>
      </c>
      <c r="C150" s="8" t="s">
        <v>22</v>
      </c>
      <c r="D150" s="8" t="s">
        <v>126</v>
      </c>
      <c r="E150" s="9">
        <f>DATE(2026,6,2)</f>
        <v>46175</v>
      </c>
      <c r="F150" s="8">
        <v>20603386214</v>
      </c>
      <c r="G150" s="8" t="s">
        <v>127</v>
      </c>
      <c r="H150" s="8" t="s">
        <v>27</v>
      </c>
      <c r="I150" s="7">
        <v>1227.4000000000001</v>
      </c>
      <c r="J150" s="7">
        <v>147.29</v>
      </c>
      <c r="K150" s="7">
        <f>+I150-J150</f>
        <v>1080.1100000000001</v>
      </c>
      <c r="L150" s="9">
        <f>DATE(2026,6,2)</f>
        <v>46175</v>
      </c>
      <c r="M150" s="9" t="s">
        <v>381</v>
      </c>
      <c r="N150" s="8" t="s">
        <v>128</v>
      </c>
      <c r="O150" s="8"/>
      <c r="P150" s="8"/>
      <c r="Q150" s="8"/>
      <c r="R150" s="8"/>
      <c r="S150" s="8"/>
    </row>
    <row r="151" spans="1:19" hidden="1" x14ac:dyDescent="0.25">
      <c r="A151" s="8">
        <v>260500002</v>
      </c>
      <c r="B151" s="8" t="s">
        <v>17</v>
      </c>
      <c r="C151" s="8" t="s">
        <v>22</v>
      </c>
      <c r="D151" s="8" t="s">
        <v>129</v>
      </c>
      <c r="E151" s="9">
        <f>DATE(2026,6,16)</f>
        <v>46189</v>
      </c>
      <c r="F151" s="8">
        <v>20603386214</v>
      </c>
      <c r="G151" s="8" t="s">
        <v>127</v>
      </c>
      <c r="H151" s="8" t="s">
        <v>27</v>
      </c>
      <c r="I151" s="7">
        <v>1131.8</v>
      </c>
      <c r="J151" s="7">
        <v>135.82</v>
      </c>
      <c r="K151" s="7">
        <f>+I151-J151</f>
        <v>995.98</v>
      </c>
      <c r="L151" s="9">
        <f>DATE(2026,6,16)</f>
        <v>46189</v>
      </c>
      <c r="M151" s="9" t="s">
        <v>381</v>
      </c>
      <c r="N151" s="8" t="s">
        <v>130</v>
      </c>
      <c r="O151" s="8"/>
      <c r="P151" s="8"/>
      <c r="Q151" s="8"/>
      <c r="R151" s="8"/>
      <c r="S151" s="8"/>
    </row>
    <row r="152" spans="1:19" hidden="1" x14ac:dyDescent="0.25">
      <c r="A152" s="8">
        <v>260700009</v>
      </c>
      <c r="B152" s="8" t="s">
        <v>17</v>
      </c>
      <c r="C152" s="8" t="s">
        <v>22</v>
      </c>
      <c r="D152" s="8" t="s">
        <v>131</v>
      </c>
      <c r="E152" s="9">
        <f>DATE(2026,7,17)</f>
        <v>46220</v>
      </c>
      <c r="F152" s="8">
        <v>20603386214</v>
      </c>
      <c r="G152" s="8" t="s">
        <v>127</v>
      </c>
      <c r="H152" s="8" t="s">
        <v>27</v>
      </c>
      <c r="I152" s="7">
        <v>1426</v>
      </c>
      <c r="J152" s="7">
        <v>171.12</v>
      </c>
      <c r="K152" s="7">
        <f>+I152-J152</f>
        <v>1254.8800000000001</v>
      </c>
      <c r="L152" s="9">
        <f>DATE(2026,7,17)</f>
        <v>46220</v>
      </c>
      <c r="M152" s="9" t="s">
        <v>381</v>
      </c>
      <c r="N152" s="8" t="s">
        <v>132</v>
      </c>
      <c r="O152" s="8"/>
      <c r="P152" s="8"/>
      <c r="Q152" s="8"/>
      <c r="R152" s="8"/>
      <c r="S152" s="8"/>
    </row>
    <row r="153" spans="1:19" hidden="1" x14ac:dyDescent="0.25">
      <c r="A153" s="8">
        <v>260700011</v>
      </c>
      <c r="B153" s="8" t="s">
        <v>17</v>
      </c>
      <c r="C153" s="8" t="s">
        <v>22</v>
      </c>
      <c r="D153" s="8" t="s">
        <v>236</v>
      </c>
      <c r="E153" s="9">
        <f>DATE(2026,7,17)</f>
        <v>46220</v>
      </c>
      <c r="F153" s="8">
        <v>20603386214</v>
      </c>
      <c r="G153" s="8" t="s">
        <v>127</v>
      </c>
      <c r="H153" s="8" t="s">
        <v>27</v>
      </c>
      <c r="I153" s="7">
        <v>971.8</v>
      </c>
      <c r="J153" s="7">
        <v>116.62</v>
      </c>
      <c r="K153" s="7">
        <v>855.18</v>
      </c>
      <c r="L153" s="9">
        <f>DATE(2026,7,17)</f>
        <v>46220</v>
      </c>
      <c r="M153" s="9" t="s">
        <v>381</v>
      </c>
      <c r="N153" s="8" t="s">
        <v>237</v>
      </c>
      <c r="O153" s="8"/>
      <c r="P153" s="8"/>
      <c r="Q153" s="8"/>
      <c r="R153" s="8"/>
      <c r="S153" s="8"/>
    </row>
    <row r="154" spans="1:19" x14ac:dyDescent="0.25">
      <c r="A154">
        <v>260800001</v>
      </c>
      <c r="B154" t="s">
        <v>17</v>
      </c>
      <c r="C154" t="s">
        <v>22</v>
      </c>
      <c r="D154" t="s">
        <v>290</v>
      </c>
      <c r="E154" s="2">
        <f>DATE(2026,8,10)</f>
        <v>46244</v>
      </c>
      <c r="F154">
        <v>20603386214</v>
      </c>
      <c r="G154" t="s">
        <v>127</v>
      </c>
      <c r="H154" t="s">
        <v>27</v>
      </c>
      <c r="I154" s="1">
        <v>1229.4000000000001</v>
      </c>
      <c r="J154" s="1">
        <v>147.53</v>
      </c>
      <c r="K154" s="1">
        <v>1081.8699999999999</v>
      </c>
      <c r="L154" s="2">
        <f>DATE(2026,8,10)</f>
        <v>46244</v>
      </c>
      <c r="M154" s="2"/>
      <c r="N154" t="s">
        <v>291</v>
      </c>
      <c r="O154">
        <v>1041.8599999999999</v>
      </c>
      <c r="P154">
        <v>187.54</v>
      </c>
      <c r="Q154" t="s">
        <v>551</v>
      </c>
      <c r="R154" s="22" t="s">
        <v>552</v>
      </c>
      <c r="S154">
        <v>500.27</v>
      </c>
    </row>
    <row r="155" spans="1:19" x14ac:dyDescent="0.25">
      <c r="A155" s="8">
        <v>260800001</v>
      </c>
      <c r="B155" s="8" t="s">
        <v>17</v>
      </c>
      <c r="C155" s="8" t="s">
        <v>22</v>
      </c>
      <c r="D155" s="8" t="s">
        <v>292</v>
      </c>
      <c r="E155" s="9">
        <f>DATE(2026,8,11)</f>
        <v>46245</v>
      </c>
      <c r="F155" s="8">
        <v>20603386214</v>
      </c>
      <c r="G155" s="8" t="s">
        <v>127</v>
      </c>
      <c r="H155" s="8" t="s">
        <v>27</v>
      </c>
      <c r="I155" s="7">
        <v>1246.5999999999999</v>
      </c>
      <c r="J155" s="7">
        <v>149.59</v>
      </c>
      <c r="K155" s="7">
        <v>1097.01</v>
      </c>
      <c r="L155" s="9">
        <f>DATE(2026,8,11)</f>
        <v>46245</v>
      </c>
      <c r="M155" s="9"/>
      <c r="N155" s="8" t="s">
        <v>293</v>
      </c>
      <c r="O155" s="8">
        <v>1056.44</v>
      </c>
      <c r="P155" s="8">
        <v>190.16</v>
      </c>
      <c r="Q155" s="8" t="s">
        <v>551</v>
      </c>
      <c r="R155" s="17" t="s">
        <v>552</v>
      </c>
      <c r="S155" s="8">
        <v>506.67</v>
      </c>
    </row>
    <row r="156" spans="1:19" x14ac:dyDescent="0.25">
      <c r="B156" t="s">
        <v>17</v>
      </c>
      <c r="C156" t="s">
        <v>22</v>
      </c>
      <c r="D156" t="s">
        <v>374</v>
      </c>
      <c r="E156" s="2">
        <f>DATE(2026,8,11)</f>
        <v>46245</v>
      </c>
      <c r="F156">
        <v>20603386214</v>
      </c>
      <c r="G156" t="s">
        <v>127</v>
      </c>
      <c r="H156" t="s">
        <v>27</v>
      </c>
      <c r="I156" s="1">
        <v>1228</v>
      </c>
      <c r="J156" s="1">
        <v>147.36000000000001</v>
      </c>
      <c r="K156" s="1">
        <v>1080.6400000000001</v>
      </c>
      <c r="L156" s="2">
        <f>DATE(2026,8,11)</f>
        <v>46245</v>
      </c>
      <c r="M156" s="2"/>
      <c r="N156" t="s">
        <v>375</v>
      </c>
      <c r="O156">
        <v>1040.68</v>
      </c>
      <c r="P156">
        <v>187.32</v>
      </c>
      <c r="Q156" t="s">
        <v>551</v>
      </c>
      <c r="R156" s="22" t="s">
        <v>552</v>
      </c>
      <c r="S156">
        <v>499.11</v>
      </c>
    </row>
    <row r="157" spans="1:19" x14ac:dyDescent="0.25">
      <c r="A157" s="8">
        <v>260700017</v>
      </c>
      <c r="B157" s="8" t="s">
        <v>17</v>
      </c>
      <c r="C157" s="8" t="s">
        <v>22</v>
      </c>
      <c r="D157" s="8" t="s">
        <v>376</v>
      </c>
      <c r="E157" s="9">
        <f>DATE(2026,8,12)</f>
        <v>46246</v>
      </c>
      <c r="F157" s="8">
        <v>20603386214</v>
      </c>
      <c r="G157" s="8" t="s">
        <v>127</v>
      </c>
      <c r="H157" s="8" t="s">
        <v>27</v>
      </c>
      <c r="I157" s="7">
        <v>72</v>
      </c>
      <c r="J157" s="7"/>
      <c r="K157" s="7">
        <v>72</v>
      </c>
      <c r="L157" s="9">
        <f>DATE(2026,8,12)</f>
        <v>46246</v>
      </c>
      <c r="M157" s="9"/>
      <c r="N157" s="8" t="s">
        <v>377</v>
      </c>
      <c r="O157" s="8">
        <v>61.02</v>
      </c>
      <c r="P157" s="8">
        <v>10.98</v>
      </c>
      <c r="Q157" s="8" t="s">
        <v>551</v>
      </c>
      <c r="R157" s="17" t="s">
        <v>557</v>
      </c>
      <c r="S157" s="8"/>
    </row>
    <row r="158" spans="1:19" x14ac:dyDescent="0.25">
      <c r="B158" t="s">
        <v>17</v>
      </c>
      <c r="C158" t="s">
        <v>22</v>
      </c>
      <c r="D158" t="s">
        <v>472</v>
      </c>
      <c r="E158" s="2">
        <f>DATE(2026,8,18)</f>
        <v>46252</v>
      </c>
      <c r="F158">
        <v>20510931514</v>
      </c>
      <c r="G158" t="s">
        <v>473</v>
      </c>
      <c r="H158" t="s">
        <v>27</v>
      </c>
      <c r="I158" s="1">
        <v>396</v>
      </c>
      <c r="J158" s="1"/>
      <c r="K158" s="1">
        <v>396</v>
      </c>
      <c r="L158" s="2">
        <f>DATE(2026,8,18)</f>
        <v>46252</v>
      </c>
      <c r="M158" s="2"/>
      <c r="N158" t="s">
        <v>474</v>
      </c>
      <c r="O158">
        <v>360</v>
      </c>
      <c r="P158">
        <v>0</v>
      </c>
      <c r="Q158" t="s">
        <v>556</v>
      </c>
      <c r="R158" s="22" t="s">
        <v>557</v>
      </c>
    </row>
    <row r="159" spans="1:19" x14ac:dyDescent="0.25">
      <c r="A159">
        <v>260900010</v>
      </c>
      <c r="B159" t="s">
        <v>17</v>
      </c>
      <c r="C159" t="s">
        <v>22</v>
      </c>
      <c r="D159" t="s">
        <v>312</v>
      </c>
      <c r="E159" s="2">
        <f>DATE(2026,8,12)</f>
        <v>46246</v>
      </c>
      <c r="F159">
        <v>20387253191</v>
      </c>
      <c r="G159" t="s">
        <v>313</v>
      </c>
      <c r="H159" t="s">
        <v>27</v>
      </c>
      <c r="I159" s="1">
        <v>2578</v>
      </c>
      <c r="J159" s="1"/>
      <c r="K159" s="1">
        <v>2578</v>
      </c>
      <c r="L159" s="2">
        <f>DATE(2026,8,12)</f>
        <v>46246</v>
      </c>
      <c r="M159" s="2"/>
      <c r="N159" t="s">
        <v>314</v>
      </c>
      <c r="O159">
        <v>2184.75</v>
      </c>
      <c r="P159">
        <v>393.25</v>
      </c>
      <c r="Q159" t="s">
        <v>551</v>
      </c>
      <c r="R159" s="22" t="s">
        <v>557</v>
      </c>
    </row>
    <row r="160" spans="1:19" hidden="1" x14ac:dyDescent="0.25">
      <c r="B160" t="s">
        <v>17</v>
      </c>
      <c r="C160" t="s">
        <v>22</v>
      </c>
      <c r="D160" t="s">
        <v>329</v>
      </c>
      <c r="E160" s="2">
        <f>DATE(2026,7,31)</f>
        <v>46234</v>
      </c>
      <c r="F160">
        <v>20605032151</v>
      </c>
      <c r="G160" t="s">
        <v>330</v>
      </c>
      <c r="H160" t="s">
        <v>27</v>
      </c>
      <c r="I160" s="1">
        <v>280</v>
      </c>
      <c r="J160" s="1"/>
      <c r="K160" s="1">
        <v>280</v>
      </c>
      <c r="L160" s="2">
        <f>DATE(2026,8,3)</f>
        <v>46237</v>
      </c>
      <c r="M160" s="2"/>
      <c r="N160" t="s">
        <v>331</v>
      </c>
    </row>
    <row r="161" spans="1:19" x14ac:dyDescent="0.25">
      <c r="A161">
        <v>260800003</v>
      </c>
      <c r="B161" t="s">
        <v>17</v>
      </c>
      <c r="C161" t="s">
        <v>22</v>
      </c>
      <c r="D161" t="s">
        <v>344</v>
      </c>
      <c r="E161" s="2">
        <f>DATE(2026,8,10)</f>
        <v>46244</v>
      </c>
      <c r="F161">
        <v>20563940281</v>
      </c>
      <c r="G161" t="s">
        <v>345</v>
      </c>
      <c r="H161" t="s">
        <v>27</v>
      </c>
      <c r="I161" s="1">
        <v>237</v>
      </c>
      <c r="J161" s="1">
        <v>28.44</v>
      </c>
      <c r="K161" s="1">
        <v>208.56</v>
      </c>
      <c r="L161" s="2">
        <f>DATE(2026,8,10)</f>
        <v>46244</v>
      </c>
      <c r="M161" s="2"/>
      <c r="N161" t="s">
        <v>346</v>
      </c>
      <c r="O161">
        <v>200.85</v>
      </c>
      <c r="P161">
        <v>36.15</v>
      </c>
      <c r="Q161" t="s">
        <v>551</v>
      </c>
      <c r="R161" s="22" t="s">
        <v>552</v>
      </c>
      <c r="S161">
        <v>96</v>
      </c>
    </row>
    <row r="162" spans="1:19" hidden="1" x14ac:dyDescent="0.25">
      <c r="B162" t="s">
        <v>17</v>
      </c>
      <c r="C162" t="s">
        <v>22</v>
      </c>
      <c r="D162" t="s">
        <v>431</v>
      </c>
      <c r="E162" s="2">
        <v>46232</v>
      </c>
      <c r="F162">
        <v>20600126521</v>
      </c>
      <c r="G162" t="s">
        <v>432</v>
      </c>
      <c r="H162" t="s">
        <v>11</v>
      </c>
      <c r="I162" s="1">
        <v>30</v>
      </c>
      <c r="J162" s="1">
        <f>+Tabla1[[#This Row],[Importe]]*0.12</f>
        <v>3.5999999999999996</v>
      </c>
      <c r="K162" s="1">
        <v>30</v>
      </c>
      <c r="L162" s="2"/>
      <c r="M162" s="2"/>
      <c r="N162" t="s">
        <v>433</v>
      </c>
    </row>
    <row r="163" spans="1:19" hidden="1" x14ac:dyDescent="0.25">
      <c r="B163" t="s">
        <v>17</v>
      </c>
      <c r="C163" t="s">
        <v>22</v>
      </c>
      <c r="D163" t="s">
        <v>434</v>
      </c>
      <c r="E163" s="2">
        <v>46233</v>
      </c>
      <c r="F163">
        <v>20600126521</v>
      </c>
      <c r="G163" t="s">
        <v>432</v>
      </c>
      <c r="H163" t="s">
        <v>11</v>
      </c>
      <c r="I163" s="1">
        <v>30</v>
      </c>
      <c r="J163" s="1">
        <f>+Tabla1[[#This Row],[Importe]]*0.12</f>
        <v>3.5999999999999996</v>
      </c>
      <c r="K163" s="1">
        <v>30</v>
      </c>
      <c r="L163" s="2"/>
      <c r="M163" s="2"/>
      <c r="N163" t="s">
        <v>435</v>
      </c>
    </row>
    <row r="164" spans="1:19" hidden="1" x14ac:dyDescent="0.25">
      <c r="A164" s="8">
        <v>260500015</v>
      </c>
      <c r="B164" s="8" t="s">
        <v>17</v>
      </c>
      <c r="C164" s="8" t="s">
        <v>22</v>
      </c>
      <c r="D164" s="8" t="s">
        <v>102</v>
      </c>
      <c r="E164" s="9">
        <f>DATE(2026,6,9)</f>
        <v>46182</v>
      </c>
      <c r="F164" s="8">
        <v>20433412860</v>
      </c>
      <c r="G164" s="8" t="s">
        <v>103</v>
      </c>
      <c r="H164" s="8" t="s">
        <v>27</v>
      </c>
      <c r="I164" s="7">
        <v>2335.2199999999998</v>
      </c>
      <c r="J164" s="7">
        <v>733.52</v>
      </c>
      <c r="K164" s="7">
        <f>+I164-J164</f>
        <v>1601.6999999999998</v>
      </c>
      <c r="L164" s="9">
        <f>DATE(2026,6,24)</f>
        <v>46197</v>
      </c>
      <c r="M164" s="9" t="s">
        <v>381</v>
      </c>
      <c r="N164" s="8" t="s">
        <v>104</v>
      </c>
      <c r="O164" s="8"/>
      <c r="P164" s="8"/>
      <c r="Q164" s="8"/>
      <c r="R164" s="8"/>
      <c r="S164" s="8"/>
    </row>
    <row r="165" spans="1:19" x14ac:dyDescent="0.25">
      <c r="B165" t="s">
        <v>17</v>
      </c>
      <c r="C165" t="s">
        <v>22</v>
      </c>
      <c r="D165" t="s">
        <v>448</v>
      </c>
      <c r="E165" s="2">
        <v>46241</v>
      </c>
      <c r="F165">
        <v>20602015964</v>
      </c>
      <c r="G165" t="s">
        <v>449</v>
      </c>
      <c r="H165" t="s">
        <v>27</v>
      </c>
      <c r="I165" s="1">
        <v>95</v>
      </c>
      <c r="J165" s="1">
        <f>+Tabla1[[#This Row],[Importe]]*0.12</f>
        <v>11.4</v>
      </c>
      <c r="K165" s="1">
        <v>95</v>
      </c>
      <c r="L165" s="2"/>
      <c r="M165" s="2"/>
      <c r="N165" t="s">
        <v>450</v>
      </c>
    </row>
    <row r="166" spans="1:19" hidden="1" x14ac:dyDescent="0.25">
      <c r="A166" s="8">
        <v>260600003</v>
      </c>
      <c r="B166" s="8" t="s">
        <v>17</v>
      </c>
      <c r="C166" s="8" t="s">
        <v>7</v>
      </c>
      <c r="D166" s="8" t="s">
        <v>200</v>
      </c>
      <c r="E166" s="9">
        <f>DATE(2026,6,20)</f>
        <v>46193</v>
      </c>
      <c r="F166" s="8">
        <v>10422800102</v>
      </c>
      <c r="G166" s="8" t="s">
        <v>70</v>
      </c>
      <c r="H166" s="8" t="s">
        <v>27</v>
      </c>
      <c r="I166" s="7">
        <v>68</v>
      </c>
      <c r="J166" s="7">
        <v>5.44</v>
      </c>
      <c r="K166" s="7">
        <v>62.56</v>
      </c>
      <c r="L166" s="9">
        <f>DATE(2026,6,20)</f>
        <v>46193</v>
      </c>
      <c r="M166" s="9" t="s">
        <v>381</v>
      </c>
      <c r="N166" s="8" t="s">
        <v>201</v>
      </c>
      <c r="O166" s="8"/>
      <c r="P166" s="8"/>
      <c r="Q166" s="8"/>
      <c r="R166" s="8"/>
      <c r="S166" s="8"/>
    </row>
    <row r="167" spans="1:19" hidden="1" x14ac:dyDescent="0.25">
      <c r="A167" s="8">
        <v>260500003</v>
      </c>
      <c r="B167" s="8" t="s">
        <v>17</v>
      </c>
      <c r="C167" s="8" t="s">
        <v>7</v>
      </c>
      <c r="D167" s="8" t="s">
        <v>74</v>
      </c>
      <c r="E167" s="9">
        <f>DATE(2026,5,20)</f>
        <v>46162</v>
      </c>
      <c r="F167" s="8">
        <v>10422800102</v>
      </c>
      <c r="G167" s="8" t="s">
        <v>70</v>
      </c>
      <c r="H167" s="8" t="s">
        <v>27</v>
      </c>
      <c r="I167" s="7">
        <v>33</v>
      </c>
      <c r="J167" s="7">
        <v>2.64</v>
      </c>
      <c r="K167" s="7">
        <f>+I167-J167</f>
        <v>30.36</v>
      </c>
      <c r="L167" s="9">
        <f>DATE(2026,5,20)</f>
        <v>46162</v>
      </c>
      <c r="M167" s="9" t="s">
        <v>381</v>
      </c>
      <c r="N167" s="8" t="s">
        <v>75</v>
      </c>
      <c r="O167" s="8"/>
      <c r="P167" s="8"/>
      <c r="Q167" s="8"/>
      <c r="R167" s="8"/>
      <c r="S167" s="8"/>
    </row>
    <row r="168" spans="1:19" hidden="1" x14ac:dyDescent="0.25">
      <c r="A168" s="8">
        <v>260500005</v>
      </c>
      <c r="B168" s="8" t="s">
        <v>17</v>
      </c>
      <c r="C168" s="8" t="s">
        <v>7</v>
      </c>
      <c r="D168" s="8" t="s">
        <v>76</v>
      </c>
      <c r="E168" s="9">
        <f>DATE(2026,5,20)</f>
        <v>46162</v>
      </c>
      <c r="F168" s="8">
        <v>10422800102</v>
      </c>
      <c r="G168" s="8" t="s">
        <v>70</v>
      </c>
      <c r="H168" s="8" t="s">
        <v>27</v>
      </c>
      <c r="I168" s="7">
        <v>88</v>
      </c>
      <c r="J168" s="7">
        <v>7.04</v>
      </c>
      <c r="K168" s="7">
        <f>+I168-J168</f>
        <v>80.959999999999994</v>
      </c>
      <c r="L168" s="9">
        <f>DATE(2026,5,20)</f>
        <v>46162</v>
      </c>
      <c r="M168" s="9" t="s">
        <v>381</v>
      </c>
      <c r="N168" s="8" t="s">
        <v>77</v>
      </c>
      <c r="O168" s="8"/>
      <c r="P168" s="8"/>
      <c r="Q168" s="8"/>
      <c r="R168" s="8"/>
      <c r="S168" s="8"/>
    </row>
    <row r="169" spans="1:19" hidden="1" x14ac:dyDescent="0.25">
      <c r="A169" s="8">
        <v>260600017</v>
      </c>
      <c r="B169" s="8" t="s">
        <v>17</v>
      </c>
      <c r="C169" s="8" t="s">
        <v>7</v>
      </c>
      <c r="D169" s="8" t="s">
        <v>69</v>
      </c>
      <c r="E169" s="9">
        <f>DATE(2026,6,18)</f>
        <v>46191</v>
      </c>
      <c r="F169" s="8">
        <v>10422800102</v>
      </c>
      <c r="G169" s="8" t="s">
        <v>70</v>
      </c>
      <c r="H169" s="8" t="s">
        <v>27</v>
      </c>
      <c r="I169" s="7">
        <v>87</v>
      </c>
      <c r="J169" s="7">
        <v>6.96</v>
      </c>
      <c r="K169" s="7">
        <f>+I169-J169</f>
        <v>80.040000000000006</v>
      </c>
      <c r="L169" s="9">
        <f>DATE(2026,6,18)</f>
        <v>46191</v>
      </c>
      <c r="M169" s="9" t="s">
        <v>381</v>
      </c>
      <c r="N169" s="8" t="s">
        <v>71</v>
      </c>
      <c r="O169" s="8"/>
      <c r="P169" s="8"/>
      <c r="Q169" s="8"/>
      <c r="R169" s="8"/>
      <c r="S169" s="8"/>
    </row>
    <row r="170" spans="1:19" hidden="1" x14ac:dyDescent="0.25">
      <c r="A170" s="8">
        <v>260500014</v>
      </c>
      <c r="B170" s="8" t="s">
        <v>17</v>
      </c>
      <c r="C170" s="8" t="s">
        <v>7</v>
      </c>
      <c r="D170" s="8" t="s">
        <v>198</v>
      </c>
      <c r="E170" s="9">
        <f>DATE(2026,6,18)</f>
        <v>46191</v>
      </c>
      <c r="F170" s="8">
        <v>10422800102</v>
      </c>
      <c r="G170" s="8" t="s">
        <v>70</v>
      </c>
      <c r="H170" s="8" t="s">
        <v>27</v>
      </c>
      <c r="I170" s="7">
        <v>126</v>
      </c>
      <c r="J170" s="7">
        <v>10.08</v>
      </c>
      <c r="K170" s="7">
        <v>115.92</v>
      </c>
      <c r="L170" s="9">
        <f>DATE(2026,6,18)</f>
        <v>46191</v>
      </c>
      <c r="M170" s="9" t="s">
        <v>381</v>
      </c>
      <c r="N170" s="8" t="s">
        <v>199</v>
      </c>
      <c r="O170" s="8"/>
      <c r="P170" s="8"/>
      <c r="Q170" s="8"/>
      <c r="R170" s="8"/>
      <c r="S170" s="8"/>
    </row>
    <row r="171" spans="1:19" hidden="1" x14ac:dyDescent="0.25">
      <c r="A171" s="8">
        <v>260700003</v>
      </c>
      <c r="B171" s="8" t="s">
        <v>17</v>
      </c>
      <c r="C171" s="8" t="s">
        <v>7</v>
      </c>
      <c r="D171" s="8" t="s">
        <v>72</v>
      </c>
      <c r="E171" s="9">
        <f>DATE(2026,7,21)</f>
        <v>46224</v>
      </c>
      <c r="F171" s="8">
        <v>10422800102</v>
      </c>
      <c r="G171" s="8" t="s">
        <v>70</v>
      </c>
      <c r="H171" s="8" t="s">
        <v>27</v>
      </c>
      <c r="I171" s="7">
        <v>74</v>
      </c>
      <c r="J171" s="7">
        <v>5.92</v>
      </c>
      <c r="K171" s="7">
        <f>+I171-J171</f>
        <v>68.08</v>
      </c>
      <c r="L171" s="9">
        <f>DATE(2026,7,21)</f>
        <v>46224</v>
      </c>
      <c r="M171" s="9" t="s">
        <v>381</v>
      </c>
      <c r="N171" s="8" t="s">
        <v>73</v>
      </c>
      <c r="O171" s="8"/>
      <c r="P171" s="8"/>
      <c r="Q171" s="8"/>
      <c r="R171" s="8"/>
      <c r="S171" s="8"/>
    </row>
    <row r="172" spans="1:19" hidden="1" x14ac:dyDescent="0.25">
      <c r="A172" s="13">
        <v>260700011</v>
      </c>
      <c r="B172" s="13" t="s">
        <v>17</v>
      </c>
      <c r="C172" s="13" t="s">
        <v>7</v>
      </c>
      <c r="D172" s="13" t="s">
        <v>202</v>
      </c>
      <c r="E172" s="14">
        <f>DATE(2026,7,21)</f>
        <v>46224</v>
      </c>
      <c r="F172" s="13">
        <v>10422800102</v>
      </c>
      <c r="G172" s="13" t="s">
        <v>70</v>
      </c>
      <c r="H172" s="13" t="s">
        <v>27</v>
      </c>
      <c r="I172" s="15">
        <v>113</v>
      </c>
      <c r="J172" s="15">
        <v>9.0399999999999991</v>
      </c>
      <c r="K172" s="15">
        <v>103.96</v>
      </c>
      <c r="L172" s="14">
        <f>DATE(2026,7,21)</f>
        <v>46224</v>
      </c>
      <c r="M172" s="14"/>
      <c r="N172" s="13" t="s">
        <v>203</v>
      </c>
      <c r="O172" s="13"/>
      <c r="P172" s="13"/>
      <c r="Q172" s="13"/>
      <c r="R172" s="13"/>
      <c r="S172" s="13"/>
    </row>
    <row r="173" spans="1:19" hidden="1" x14ac:dyDescent="0.25">
      <c r="A173" s="8">
        <v>260600004</v>
      </c>
      <c r="B173" s="8" t="s">
        <v>17</v>
      </c>
      <c r="C173" s="8" t="s">
        <v>7</v>
      </c>
      <c r="D173" s="8" t="s">
        <v>204</v>
      </c>
      <c r="E173" s="9">
        <f>DATE(2026,7,21)</f>
        <v>46224</v>
      </c>
      <c r="F173" s="8">
        <v>10422800102</v>
      </c>
      <c r="G173" s="8" t="s">
        <v>70</v>
      </c>
      <c r="H173" s="8" t="s">
        <v>27</v>
      </c>
      <c r="I173" s="7">
        <v>78</v>
      </c>
      <c r="J173" s="7">
        <v>6.24</v>
      </c>
      <c r="K173" s="7">
        <v>71.760000000000005</v>
      </c>
      <c r="L173" s="9">
        <f>DATE(2026,7,21)</f>
        <v>46224</v>
      </c>
      <c r="M173" s="9" t="s">
        <v>382</v>
      </c>
      <c r="N173" s="8" t="s">
        <v>205</v>
      </c>
      <c r="O173" s="8"/>
      <c r="P173" s="8"/>
      <c r="Q173" s="8"/>
      <c r="R173" s="8"/>
      <c r="S173" s="8"/>
    </row>
    <row r="174" spans="1:19" hidden="1" x14ac:dyDescent="0.25">
      <c r="A174">
        <v>260700014</v>
      </c>
      <c r="B174" t="s">
        <v>17</v>
      </c>
      <c r="C174" t="s">
        <v>7</v>
      </c>
      <c r="D174" t="s">
        <v>206</v>
      </c>
      <c r="E174" s="2">
        <f>DATE(2026,7,21)</f>
        <v>46224</v>
      </c>
      <c r="F174">
        <v>10422800102</v>
      </c>
      <c r="G174" t="s">
        <v>70</v>
      </c>
      <c r="H174" t="s">
        <v>27</v>
      </c>
      <c r="I174" s="1">
        <v>100</v>
      </c>
      <c r="J174" s="1">
        <v>8</v>
      </c>
      <c r="K174" s="1">
        <v>92</v>
      </c>
      <c r="L174" s="2">
        <f>DATE(2026,7,21)</f>
        <v>46224</v>
      </c>
      <c r="M174" s="2" t="s">
        <v>382</v>
      </c>
      <c r="N174" t="s">
        <v>207</v>
      </c>
    </row>
    <row r="175" spans="1:19" x14ac:dyDescent="0.25">
      <c r="A175" s="8">
        <v>260700009</v>
      </c>
      <c r="B175" s="8" t="s">
        <v>17</v>
      </c>
      <c r="C175" s="8" t="s">
        <v>7</v>
      </c>
      <c r="D175" s="8" t="s">
        <v>481</v>
      </c>
      <c r="E175" s="9">
        <f>DATE(2026,8,14)</f>
        <v>46248</v>
      </c>
      <c r="F175" s="8">
        <v>10422800102</v>
      </c>
      <c r="G175" s="8" t="s">
        <v>70</v>
      </c>
      <c r="H175" s="8" t="s">
        <v>27</v>
      </c>
      <c r="I175" s="7">
        <v>87</v>
      </c>
      <c r="J175" s="7">
        <v>6.96</v>
      </c>
      <c r="K175" s="7">
        <v>80.040000000000006</v>
      </c>
      <c r="L175" s="9">
        <f>DATE(2026,8,14)</f>
        <v>46248</v>
      </c>
      <c r="M175" s="9"/>
      <c r="N175" s="8" t="s">
        <v>482</v>
      </c>
      <c r="O175" s="8">
        <v>87</v>
      </c>
      <c r="P175" s="8">
        <v>0</v>
      </c>
      <c r="Q175" s="8" t="s">
        <v>7</v>
      </c>
      <c r="R175" s="17" t="s">
        <v>557</v>
      </c>
      <c r="S175" s="8"/>
    </row>
    <row r="176" spans="1:19" x14ac:dyDescent="0.25">
      <c r="A176" s="10">
        <v>260700017</v>
      </c>
      <c r="B176" s="10" t="s">
        <v>17</v>
      </c>
      <c r="C176" s="10" t="s">
        <v>7</v>
      </c>
      <c r="D176" s="10" t="s">
        <v>483</v>
      </c>
      <c r="E176" s="11">
        <f>DATE(2026,8,17)</f>
        <v>46251</v>
      </c>
      <c r="F176" s="10">
        <v>10422800102</v>
      </c>
      <c r="G176" s="10" t="s">
        <v>70</v>
      </c>
      <c r="H176" s="10" t="s">
        <v>27</v>
      </c>
      <c r="I176" s="12">
        <v>157</v>
      </c>
      <c r="J176" s="12">
        <v>12.56</v>
      </c>
      <c r="K176" s="12">
        <v>144.44</v>
      </c>
      <c r="L176" s="11">
        <f>DATE(2026,8,17)</f>
        <v>46251</v>
      </c>
      <c r="M176" s="11"/>
      <c r="N176" s="10" t="s">
        <v>484</v>
      </c>
      <c r="O176" s="10">
        <v>157</v>
      </c>
      <c r="P176" s="10">
        <v>0</v>
      </c>
      <c r="Q176" s="10" t="s">
        <v>7</v>
      </c>
      <c r="R176" s="23" t="s">
        <v>557</v>
      </c>
      <c r="S176" s="10"/>
    </row>
    <row r="177" spans="1:19" x14ac:dyDescent="0.25">
      <c r="A177" s="13">
        <v>260800007</v>
      </c>
      <c r="B177" s="13" t="s">
        <v>17</v>
      </c>
      <c r="C177" s="13" t="s">
        <v>7</v>
      </c>
      <c r="D177" s="13" t="s">
        <v>485</v>
      </c>
      <c r="E177" s="14">
        <f>DATE(2026,8,17)</f>
        <v>46251</v>
      </c>
      <c r="F177" s="13">
        <v>10422800102</v>
      </c>
      <c r="G177" s="13" t="s">
        <v>70</v>
      </c>
      <c r="H177" s="13" t="s">
        <v>27</v>
      </c>
      <c r="I177" s="15">
        <v>70</v>
      </c>
      <c r="J177" s="15">
        <v>5.6</v>
      </c>
      <c r="K177" s="15">
        <v>64.400000000000006</v>
      </c>
      <c r="L177" s="14">
        <f>DATE(2026,8,17)</f>
        <v>46251</v>
      </c>
      <c r="M177" s="14"/>
      <c r="N177" s="13" t="s">
        <v>486</v>
      </c>
      <c r="O177" s="13">
        <v>70</v>
      </c>
      <c r="P177" s="13">
        <v>0</v>
      </c>
      <c r="Q177" s="13" t="s">
        <v>7</v>
      </c>
      <c r="R177" s="24" t="s">
        <v>557</v>
      </c>
      <c r="S177" s="13"/>
    </row>
    <row r="178" spans="1:19" x14ac:dyDescent="0.25">
      <c r="B178" t="s">
        <v>15</v>
      </c>
      <c r="C178" t="s">
        <v>22</v>
      </c>
      <c r="D178" t="s">
        <v>270</v>
      </c>
      <c r="E178" s="2">
        <f>DATE(2026,8,8)</f>
        <v>46242</v>
      </c>
      <c r="F178">
        <v>20611806893</v>
      </c>
      <c r="G178" t="s">
        <v>271</v>
      </c>
      <c r="H178" t="s">
        <v>11</v>
      </c>
      <c r="I178" s="1">
        <v>199</v>
      </c>
      <c r="J178" s="1"/>
      <c r="K178" s="1">
        <v>199</v>
      </c>
      <c r="L178" s="2">
        <f>DATE(2026,8,8)</f>
        <v>46242</v>
      </c>
      <c r="M178" s="2"/>
      <c r="N178" t="s">
        <v>272</v>
      </c>
      <c r="O178">
        <v>180.09</v>
      </c>
      <c r="P178">
        <v>18.91</v>
      </c>
      <c r="Q178" t="s">
        <v>551</v>
      </c>
      <c r="R178" s="22" t="s">
        <v>557</v>
      </c>
    </row>
    <row r="179" spans="1:19" hidden="1" x14ac:dyDescent="0.25">
      <c r="A179">
        <v>260600002</v>
      </c>
      <c r="B179" t="s">
        <v>17</v>
      </c>
      <c r="C179" t="s">
        <v>7</v>
      </c>
      <c r="D179" t="s">
        <v>182</v>
      </c>
      <c r="E179" s="2">
        <f>DATE(2026,6,30)</f>
        <v>46203</v>
      </c>
      <c r="F179">
        <v>10405221701</v>
      </c>
      <c r="G179" t="s">
        <v>183</v>
      </c>
      <c r="H179" t="s">
        <v>27</v>
      </c>
      <c r="I179" s="1">
        <v>170</v>
      </c>
      <c r="J179" s="1">
        <v>13.6</v>
      </c>
      <c r="K179" s="1">
        <v>156.4</v>
      </c>
      <c r="L179" s="2">
        <f>DATE(2026,6,30)</f>
        <v>46203</v>
      </c>
      <c r="M179" s="2"/>
      <c r="N179" t="s">
        <v>184</v>
      </c>
    </row>
    <row r="180" spans="1:19" hidden="1" x14ac:dyDescent="0.25">
      <c r="B180" t="s">
        <v>15</v>
      </c>
      <c r="C180" t="s">
        <v>7</v>
      </c>
      <c r="D180" t="s">
        <v>493</v>
      </c>
      <c r="E180" s="2">
        <f>DATE(2026,7,22)</f>
        <v>46225</v>
      </c>
      <c r="F180">
        <v>10075785548</v>
      </c>
      <c r="G180" t="s">
        <v>494</v>
      </c>
      <c r="H180" t="s">
        <v>11</v>
      </c>
      <c r="I180" s="1">
        <v>5130.43</v>
      </c>
      <c r="J180" s="1">
        <v>410.43</v>
      </c>
      <c r="K180" s="1">
        <v>4720</v>
      </c>
      <c r="L180" s="2">
        <f>DATE(2026,7,30)</f>
        <v>46233</v>
      </c>
      <c r="M180" s="2"/>
      <c r="N180" t="s">
        <v>495</v>
      </c>
    </row>
    <row r="181" spans="1:19" hidden="1" x14ac:dyDescent="0.25">
      <c r="B181" t="s">
        <v>17</v>
      </c>
      <c r="C181" t="s">
        <v>22</v>
      </c>
      <c r="D181" t="s">
        <v>282</v>
      </c>
      <c r="E181" s="2">
        <f>DATE(2026,5,26)</f>
        <v>46168</v>
      </c>
      <c r="F181">
        <v>20334461875</v>
      </c>
      <c r="G181" t="s">
        <v>283</v>
      </c>
      <c r="H181" t="s">
        <v>11</v>
      </c>
      <c r="I181" s="1">
        <v>394.8</v>
      </c>
      <c r="J181" s="1"/>
      <c r="K181" s="1">
        <v>394.8</v>
      </c>
      <c r="L181" s="2">
        <f>DATE(2026,5,31)</f>
        <v>46173</v>
      </c>
      <c r="M181" s="2"/>
      <c r="N181" t="s">
        <v>284</v>
      </c>
    </row>
    <row r="182" spans="1:19" hidden="1" x14ac:dyDescent="0.25">
      <c r="B182" t="s">
        <v>17</v>
      </c>
      <c r="C182" t="s">
        <v>22</v>
      </c>
      <c r="D182" t="s">
        <v>475</v>
      </c>
      <c r="E182" s="2">
        <f>DATE(2026,7,26)</f>
        <v>46229</v>
      </c>
      <c r="F182">
        <v>20602580203</v>
      </c>
      <c r="G182" t="s">
        <v>476</v>
      </c>
      <c r="H182" t="s">
        <v>11</v>
      </c>
      <c r="I182" s="1">
        <v>3490</v>
      </c>
      <c r="J182" s="1"/>
      <c r="K182" s="1">
        <v>3490</v>
      </c>
      <c r="L182" s="2">
        <f>DATE(2026,7,26)</f>
        <v>46229</v>
      </c>
      <c r="M182" s="2"/>
      <c r="N182" t="s">
        <v>477</v>
      </c>
    </row>
    <row r="183" spans="1:19" hidden="1" x14ac:dyDescent="0.25">
      <c r="A183" s="8">
        <v>260500002</v>
      </c>
      <c r="B183" s="8" t="s">
        <v>17</v>
      </c>
      <c r="C183" s="8" t="s">
        <v>22</v>
      </c>
      <c r="D183" s="8" t="s">
        <v>211</v>
      </c>
      <c r="E183" s="9">
        <f>DATE(2026,6,26)</f>
        <v>46199</v>
      </c>
      <c r="F183" s="8">
        <v>20564294927</v>
      </c>
      <c r="G183" s="8" t="s">
        <v>209</v>
      </c>
      <c r="H183" s="8" t="s">
        <v>27</v>
      </c>
      <c r="I183" s="7">
        <v>415</v>
      </c>
      <c r="J183" s="7"/>
      <c r="K183" s="7">
        <v>415</v>
      </c>
      <c r="L183" s="9">
        <f>DATE(2026,6,26)</f>
        <v>46199</v>
      </c>
      <c r="M183" s="9" t="s">
        <v>381</v>
      </c>
      <c r="N183" s="8" t="s">
        <v>212</v>
      </c>
      <c r="O183" s="8"/>
      <c r="P183" s="8"/>
      <c r="Q183" s="8"/>
      <c r="R183" s="8"/>
      <c r="S183" s="8"/>
    </row>
    <row r="184" spans="1:19" hidden="1" x14ac:dyDescent="0.25">
      <c r="A184" s="8">
        <v>260600003</v>
      </c>
      <c r="B184" s="8" t="s">
        <v>17</v>
      </c>
      <c r="C184" s="8" t="s">
        <v>22</v>
      </c>
      <c r="D184" s="8" t="s">
        <v>208</v>
      </c>
      <c r="E184" s="9">
        <f>DATE(2026,6,26)</f>
        <v>46199</v>
      </c>
      <c r="F184" s="8">
        <v>20564294927</v>
      </c>
      <c r="G184" s="8" t="s">
        <v>209</v>
      </c>
      <c r="H184" s="8" t="s">
        <v>27</v>
      </c>
      <c r="I184" s="7">
        <v>140</v>
      </c>
      <c r="J184" s="7"/>
      <c r="K184" s="7">
        <v>140</v>
      </c>
      <c r="L184" s="9">
        <f>DATE(2026,6,26)</f>
        <v>46199</v>
      </c>
      <c r="M184" s="9" t="s">
        <v>381</v>
      </c>
      <c r="N184" s="8" t="s">
        <v>210</v>
      </c>
      <c r="O184" s="8"/>
      <c r="P184" s="8"/>
      <c r="Q184" s="8"/>
      <c r="R184" s="8"/>
      <c r="S184" s="8"/>
    </row>
    <row r="185" spans="1:19" hidden="1" x14ac:dyDescent="0.25">
      <c r="A185" s="8">
        <v>260500003</v>
      </c>
      <c r="B185" s="8" t="s">
        <v>17</v>
      </c>
      <c r="C185" s="8" t="s">
        <v>22</v>
      </c>
      <c r="D185" s="8" t="s">
        <v>213</v>
      </c>
      <c r="E185" s="9">
        <f>DATE(2026,6,26)</f>
        <v>46199</v>
      </c>
      <c r="F185" s="8">
        <v>20564294927</v>
      </c>
      <c r="G185" s="8" t="s">
        <v>209</v>
      </c>
      <c r="H185" s="8" t="s">
        <v>27</v>
      </c>
      <c r="I185" s="7">
        <v>137</v>
      </c>
      <c r="J185" s="7"/>
      <c r="K185" s="7">
        <v>137</v>
      </c>
      <c r="L185" s="9">
        <f>DATE(2026,6,26)</f>
        <v>46199</v>
      </c>
      <c r="M185" s="9" t="s">
        <v>381</v>
      </c>
      <c r="N185" s="8" t="s">
        <v>214</v>
      </c>
      <c r="O185" s="8"/>
      <c r="P185" s="8"/>
      <c r="Q185" s="8"/>
      <c r="R185" s="8"/>
      <c r="S185" s="8"/>
    </row>
    <row r="186" spans="1:19" hidden="1" x14ac:dyDescent="0.25">
      <c r="A186" s="8">
        <v>260700019</v>
      </c>
      <c r="B186" s="8" t="s">
        <v>17</v>
      </c>
      <c r="C186" s="8" t="s">
        <v>22</v>
      </c>
      <c r="D186" s="8" t="s">
        <v>320</v>
      </c>
      <c r="E186" s="9">
        <f>DATE(2026,7,31)</f>
        <v>46234</v>
      </c>
      <c r="F186" s="8">
        <v>20526922299</v>
      </c>
      <c r="G186" s="8" t="s">
        <v>321</v>
      </c>
      <c r="H186" s="8" t="s">
        <v>27</v>
      </c>
      <c r="I186" s="7">
        <v>368</v>
      </c>
      <c r="J186" s="7">
        <v>36.799999999999997</v>
      </c>
      <c r="K186" s="7">
        <v>331.2</v>
      </c>
      <c r="L186" s="9">
        <f>DATE(2026,8,7)</f>
        <v>46241</v>
      </c>
      <c r="M186" s="9"/>
      <c r="N186" s="8" t="s">
        <v>322</v>
      </c>
      <c r="O186" s="8"/>
      <c r="P186" s="8"/>
      <c r="Q186" s="8"/>
      <c r="R186" s="8"/>
      <c r="S186" s="8"/>
    </row>
    <row r="187" spans="1:19" hidden="1" x14ac:dyDescent="0.25">
      <c r="A187">
        <v>260500020</v>
      </c>
      <c r="B187" t="s">
        <v>17</v>
      </c>
      <c r="C187" t="s">
        <v>22</v>
      </c>
      <c r="D187" t="s">
        <v>86</v>
      </c>
      <c r="E187" s="2">
        <f>DATE(2026,5,29)</f>
        <v>46171</v>
      </c>
      <c r="F187">
        <v>20600179005</v>
      </c>
      <c r="G187" t="s">
        <v>87</v>
      </c>
      <c r="H187" t="s">
        <v>27</v>
      </c>
      <c r="I187" s="1">
        <v>87.32</v>
      </c>
      <c r="J187" s="1"/>
      <c r="K187" s="1">
        <f>+I187-J187</f>
        <v>87.32</v>
      </c>
      <c r="L187" s="2">
        <f>DATE(2026,6,4)</f>
        <v>46177</v>
      </c>
      <c r="M187" s="2" t="s">
        <v>382</v>
      </c>
      <c r="N187" t="s">
        <v>88</v>
      </c>
    </row>
    <row r="188" spans="1:19" hidden="1" x14ac:dyDescent="0.25">
      <c r="A188" s="8">
        <v>260400002</v>
      </c>
      <c r="B188" s="8" t="s">
        <v>17</v>
      </c>
      <c r="C188" s="8" t="s">
        <v>22</v>
      </c>
      <c r="D188" s="8" t="s">
        <v>218</v>
      </c>
      <c r="E188" s="9">
        <f>DATE(2026,6,5)</f>
        <v>46178</v>
      </c>
      <c r="F188" s="8">
        <v>20600179005</v>
      </c>
      <c r="G188" s="8" t="s">
        <v>87</v>
      </c>
      <c r="H188" s="8" t="s">
        <v>27</v>
      </c>
      <c r="I188" s="7">
        <v>104.06</v>
      </c>
      <c r="J188" s="7"/>
      <c r="K188" s="7">
        <v>104.06</v>
      </c>
      <c r="L188" s="9">
        <f>DATE(2026,6,10)</f>
        <v>46183</v>
      </c>
      <c r="M188" s="9" t="s">
        <v>381</v>
      </c>
      <c r="N188" s="8" t="s">
        <v>219</v>
      </c>
      <c r="O188" s="8"/>
      <c r="P188" s="8"/>
      <c r="Q188" s="8"/>
      <c r="R188" s="8"/>
      <c r="S188" s="8"/>
    </row>
    <row r="189" spans="1:19" hidden="1" x14ac:dyDescent="0.25">
      <c r="A189" s="8">
        <v>260500010</v>
      </c>
      <c r="B189" s="8" t="s">
        <v>17</v>
      </c>
      <c r="C189" s="8" t="s">
        <v>22</v>
      </c>
      <c r="D189" s="8" t="s">
        <v>222</v>
      </c>
      <c r="E189" s="9">
        <f>DATE(2026,6,20)</f>
        <v>46193</v>
      </c>
      <c r="F189" s="8">
        <v>20600179005</v>
      </c>
      <c r="G189" s="8" t="s">
        <v>87</v>
      </c>
      <c r="H189" s="8" t="s">
        <v>27</v>
      </c>
      <c r="I189" s="7">
        <v>221.84</v>
      </c>
      <c r="J189" s="7"/>
      <c r="K189" s="7">
        <v>221.84</v>
      </c>
      <c r="L189" s="9">
        <f>DATE(2026,6,25)</f>
        <v>46198</v>
      </c>
      <c r="M189" s="9" t="s">
        <v>381</v>
      </c>
      <c r="N189" s="8" t="s">
        <v>223</v>
      </c>
      <c r="O189" s="8"/>
      <c r="P189" s="8"/>
      <c r="Q189" s="8"/>
      <c r="R189" s="8"/>
      <c r="S189" s="8"/>
    </row>
    <row r="190" spans="1:19" hidden="1" x14ac:dyDescent="0.25">
      <c r="A190">
        <v>260600004</v>
      </c>
      <c r="B190" t="s">
        <v>17</v>
      </c>
      <c r="C190" t="s">
        <v>22</v>
      </c>
      <c r="D190" t="s">
        <v>224</v>
      </c>
      <c r="E190" s="2">
        <f>DATE(2026,7,14)</f>
        <v>46217</v>
      </c>
      <c r="F190">
        <v>20600179005</v>
      </c>
      <c r="G190" t="s">
        <v>87</v>
      </c>
      <c r="H190" t="s">
        <v>27</v>
      </c>
      <c r="I190" s="1">
        <v>114.46</v>
      </c>
      <c r="J190" s="1"/>
      <c r="K190" s="1">
        <v>114.46</v>
      </c>
      <c r="L190" s="2">
        <f>DATE(2026,7,18)</f>
        <v>46221</v>
      </c>
      <c r="M190" s="2" t="s">
        <v>382</v>
      </c>
      <c r="N190" t="s">
        <v>225</v>
      </c>
    </row>
    <row r="191" spans="1:19" hidden="1" x14ac:dyDescent="0.25">
      <c r="A191" s="8">
        <v>260500012</v>
      </c>
      <c r="B191" s="8" t="s">
        <v>17</v>
      </c>
      <c r="C191" s="8" t="s">
        <v>22</v>
      </c>
      <c r="D191" s="8" t="s">
        <v>91</v>
      </c>
      <c r="E191" s="9">
        <f>DATE(2026,5,26)</f>
        <v>46168</v>
      </c>
      <c r="F191" s="8">
        <v>20600179005</v>
      </c>
      <c r="G191" s="8" t="s">
        <v>87</v>
      </c>
      <c r="H191" s="8" t="s">
        <v>27</v>
      </c>
      <c r="I191" s="7">
        <v>177</v>
      </c>
      <c r="J191" s="7"/>
      <c r="K191" s="7">
        <f>+I191-J191</f>
        <v>177</v>
      </c>
      <c r="L191" s="9">
        <f>DATE(2026,5,29)</f>
        <v>46171</v>
      </c>
      <c r="M191" s="9" t="s">
        <v>381</v>
      </c>
      <c r="N191" s="8" t="s">
        <v>92</v>
      </c>
      <c r="O191" s="8"/>
      <c r="P191" s="8"/>
      <c r="Q191" s="8"/>
      <c r="R191" s="8"/>
      <c r="S191" s="8"/>
    </row>
    <row r="192" spans="1:19" hidden="1" x14ac:dyDescent="0.25">
      <c r="A192" s="8">
        <v>260500015</v>
      </c>
      <c r="B192" s="8" t="s">
        <v>17</v>
      </c>
      <c r="C192" s="8" t="s">
        <v>22</v>
      </c>
      <c r="D192" s="8" t="s">
        <v>89</v>
      </c>
      <c r="E192" s="9">
        <f>DATE(2026,5,29)</f>
        <v>46171</v>
      </c>
      <c r="F192" s="8">
        <v>20600179005</v>
      </c>
      <c r="G192" s="8" t="s">
        <v>87</v>
      </c>
      <c r="H192" s="8" t="s">
        <v>27</v>
      </c>
      <c r="I192" s="7">
        <v>313.08999999999997</v>
      </c>
      <c r="J192" s="7">
        <f>+Tabla1[[#This Row],[Importe]]*0.1</f>
        <v>31.308999999999997</v>
      </c>
      <c r="K192" s="7">
        <f>+I192-J192</f>
        <v>281.78099999999995</v>
      </c>
      <c r="L192" s="9">
        <f>DATE(2026,6,4)</f>
        <v>46177</v>
      </c>
      <c r="M192" s="9" t="s">
        <v>381</v>
      </c>
      <c r="N192" s="8" t="s">
        <v>90</v>
      </c>
      <c r="O192" s="8"/>
      <c r="P192" s="8"/>
      <c r="Q192" s="8"/>
      <c r="R192" s="8"/>
      <c r="S192" s="8"/>
    </row>
    <row r="193" spans="1:19" hidden="1" x14ac:dyDescent="0.25">
      <c r="A193" s="8">
        <v>260400006</v>
      </c>
      <c r="B193" s="8" t="s">
        <v>17</v>
      </c>
      <c r="C193" s="8" t="s">
        <v>22</v>
      </c>
      <c r="D193" s="8" t="s">
        <v>220</v>
      </c>
      <c r="E193" s="9">
        <f>DATE(2026,6,5)</f>
        <v>46178</v>
      </c>
      <c r="F193" s="8">
        <v>20600179005</v>
      </c>
      <c r="G193" s="8" t="s">
        <v>87</v>
      </c>
      <c r="H193" s="8" t="s">
        <v>27</v>
      </c>
      <c r="I193" s="7">
        <v>643.1</v>
      </c>
      <c r="J193" s="7">
        <f>+Tabla1[[#This Row],[Importe]]*0.1</f>
        <v>64.31</v>
      </c>
      <c r="K193" s="7">
        <f>+I193-J193</f>
        <v>578.79</v>
      </c>
      <c r="L193" s="9">
        <f>DATE(2026,6,10)</f>
        <v>46183</v>
      </c>
      <c r="M193" s="9" t="s">
        <v>381</v>
      </c>
      <c r="N193" s="8" t="s">
        <v>221</v>
      </c>
      <c r="O193" s="8"/>
      <c r="P193" s="8"/>
      <c r="Q193" s="8"/>
      <c r="R193" s="8"/>
      <c r="S193" s="8"/>
    </row>
    <row r="194" spans="1:19" hidden="1" x14ac:dyDescent="0.25">
      <c r="A194">
        <v>260700011</v>
      </c>
      <c r="B194" t="s">
        <v>17</v>
      </c>
      <c r="C194" t="s">
        <v>22</v>
      </c>
      <c r="D194" t="s">
        <v>226</v>
      </c>
      <c r="E194" s="2">
        <f>DATE(2026,7,27)</f>
        <v>46230</v>
      </c>
      <c r="F194">
        <v>20600179005</v>
      </c>
      <c r="G194" t="s">
        <v>87</v>
      </c>
      <c r="H194" t="s">
        <v>27</v>
      </c>
      <c r="I194" s="1">
        <v>122.72</v>
      </c>
      <c r="J194" s="1"/>
      <c r="K194" s="1">
        <v>122.72</v>
      </c>
      <c r="L194" s="2">
        <f>DATE(2026,7,31)</f>
        <v>46234</v>
      </c>
      <c r="M194" s="2" t="s">
        <v>382</v>
      </c>
      <c r="N194" t="s">
        <v>227</v>
      </c>
    </row>
    <row r="195" spans="1:19" hidden="1" x14ac:dyDescent="0.25">
      <c r="A195" s="8">
        <v>260500017</v>
      </c>
      <c r="B195" s="8" t="s">
        <v>17</v>
      </c>
      <c r="C195" s="8" t="s">
        <v>22</v>
      </c>
      <c r="D195" s="8" t="s">
        <v>97</v>
      </c>
      <c r="E195" s="9">
        <f>DATE(2026,6,17)</f>
        <v>46190</v>
      </c>
      <c r="F195" s="8">
        <v>20600179005</v>
      </c>
      <c r="G195" s="8" t="s">
        <v>87</v>
      </c>
      <c r="H195" s="8" t="s">
        <v>27</v>
      </c>
      <c r="I195" s="7">
        <v>121.54</v>
      </c>
      <c r="J195" s="7"/>
      <c r="K195" s="7">
        <f>+I195-J195</f>
        <v>121.54</v>
      </c>
      <c r="L195" s="9">
        <f>DATE(2026,6,19)</f>
        <v>46192</v>
      </c>
      <c r="M195" s="9" t="s">
        <v>381</v>
      </c>
      <c r="N195" s="8" t="s">
        <v>98</v>
      </c>
      <c r="O195" s="8"/>
      <c r="P195" s="8"/>
      <c r="Q195" s="8"/>
      <c r="R195" s="8"/>
      <c r="S195" s="8"/>
    </row>
    <row r="196" spans="1:19" hidden="1" x14ac:dyDescent="0.25">
      <c r="A196" s="8">
        <v>260600001</v>
      </c>
      <c r="B196" s="8" t="s">
        <v>17</v>
      </c>
      <c r="C196" s="8" t="s">
        <v>22</v>
      </c>
      <c r="D196" s="8" t="s">
        <v>93</v>
      </c>
      <c r="E196" s="9">
        <f>DATE(2026,6,28)</f>
        <v>46201</v>
      </c>
      <c r="F196" s="8">
        <v>20600179005</v>
      </c>
      <c r="G196" s="8" t="s">
        <v>87</v>
      </c>
      <c r="H196" s="8" t="s">
        <v>27</v>
      </c>
      <c r="I196" s="7">
        <v>35.4</v>
      </c>
      <c r="J196" s="7"/>
      <c r="K196" s="7">
        <f>+I196-J196</f>
        <v>35.4</v>
      </c>
      <c r="L196" s="9">
        <f>DATE(2026,6,30)</f>
        <v>46203</v>
      </c>
      <c r="M196" s="9" t="s">
        <v>381</v>
      </c>
      <c r="N196" s="8" t="s">
        <v>94</v>
      </c>
      <c r="O196" s="8"/>
      <c r="P196" s="8"/>
      <c r="Q196" s="8"/>
      <c r="R196" s="8"/>
      <c r="S196" s="8"/>
    </row>
    <row r="197" spans="1:19" hidden="1" x14ac:dyDescent="0.25">
      <c r="A197" s="8">
        <v>260600003</v>
      </c>
      <c r="B197" s="8" t="s">
        <v>17</v>
      </c>
      <c r="C197" s="8" t="s">
        <v>22</v>
      </c>
      <c r="D197" s="8" t="s">
        <v>95</v>
      </c>
      <c r="E197" s="9">
        <f>DATE(2026,6,28)</f>
        <v>46201</v>
      </c>
      <c r="F197" s="8">
        <v>20600179005</v>
      </c>
      <c r="G197" s="8" t="s">
        <v>87</v>
      </c>
      <c r="H197" s="8" t="s">
        <v>27</v>
      </c>
      <c r="I197" s="7">
        <v>103.84</v>
      </c>
      <c r="J197" s="7"/>
      <c r="K197" s="7">
        <f>+I197-J197</f>
        <v>103.84</v>
      </c>
      <c r="L197" s="9">
        <f>DATE(2026,6,30)</f>
        <v>46203</v>
      </c>
      <c r="M197" s="9" t="s">
        <v>381</v>
      </c>
      <c r="N197" s="8" t="s">
        <v>96</v>
      </c>
      <c r="O197" s="8"/>
      <c r="P197" s="8"/>
      <c r="Q197" s="8"/>
      <c r="R197" s="8"/>
      <c r="S197" s="8"/>
    </row>
    <row r="198" spans="1:19" x14ac:dyDescent="0.25">
      <c r="A198" s="13">
        <v>260800003</v>
      </c>
      <c r="B198" s="13" t="s">
        <v>17</v>
      </c>
      <c r="C198" s="13" t="s">
        <v>22</v>
      </c>
      <c r="D198" s="13" t="s">
        <v>347</v>
      </c>
      <c r="E198" s="14">
        <f>DATE(2026,8,8)</f>
        <v>46242</v>
      </c>
      <c r="F198" s="13">
        <v>20600179005</v>
      </c>
      <c r="G198" s="13" t="s">
        <v>87</v>
      </c>
      <c r="H198" s="13" t="s">
        <v>27</v>
      </c>
      <c r="I198" s="15">
        <v>177.38</v>
      </c>
      <c r="J198" s="15"/>
      <c r="K198" s="15">
        <v>177.38</v>
      </c>
      <c r="L198" s="14">
        <f>DATE(2026,8,13)</f>
        <v>46247</v>
      </c>
      <c r="M198" s="14" t="s">
        <v>383</v>
      </c>
      <c r="N198" s="13" t="s">
        <v>348</v>
      </c>
      <c r="O198" s="13">
        <v>150.33000000000001</v>
      </c>
      <c r="P198" s="13">
        <v>27.06</v>
      </c>
      <c r="Q198" s="13" t="s">
        <v>551</v>
      </c>
      <c r="R198" s="24" t="s">
        <v>557</v>
      </c>
      <c r="S198" s="13"/>
    </row>
    <row r="199" spans="1:19" x14ac:dyDescent="0.25">
      <c r="A199" s="13">
        <v>260700008</v>
      </c>
      <c r="B199" s="13" t="s">
        <v>17</v>
      </c>
      <c r="C199" s="13" t="s">
        <v>22</v>
      </c>
      <c r="D199" s="13" t="s">
        <v>349</v>
      </c>
      <c r="E199" s="14">
        <f>DATE(2026,8,8)</f>
        <v>46242</v>
      </c>
      <c r="F199" s="13">
        <v>20600179005</v>
      </c>
      <c r="G199" s="13" t="s">
        <v>87</v>
      </c>
      <c r="H199" s="13" t="s">
        <v>27</v>
      </c>
      <c r="I199" s="15">
        <v>124.51</v>
      </c>
      <c r="J199" s="15"/>
      <c r="K199" s="15">
        <v>124.51</v>
      </c>
      <c r="L199" s="14">
        <f>DATE(2026,8,13)</f>
        <v>46247</v>
      </c>
      <c r="M199" s="14" t="s">
        <v>383</v>
      </c>
      <c r="N199" s="13" t="s">
        <v>350</v>
      </c>
      <c r="O199" s="13">
        <v>105.52</v>
      </c>
      <c r="P199" s="13">
        <v>18.989999999999998</v>
      </c>
      <c r="Q199" s="13" t="s">
        <v>551</v>
      </c>
      <c r="R199" s="24" t="s">
        <v>557</v>
      </c>
      <c r="S199" s="13"/>
    </row>
    <row r="200" spans="1:19" x14ac:dyDescent="0.25">
      <c r="A200" s="13">
        <v>260700009</v>
      </c>
      <c r="B200" s="13" t="s">
        <v>17</v>
      </c>
      <c r="C200" s="13" t="s">
        <v>22</v>
      </c>
      <c r="D200" s="13" t="s">
        <v>285</v>
      </c>
      <c r="E200" s="14">
        <f>DATE(2026,8,8)</f>
        <v>46242</v>
      </c>
      <c r="F200" s="13">
        <v>20600179005</v>
      </c>
      <c r="G200" s="13" t="s">
        <v>87</v>
      </c>
      <c r="H200" s="13" t="s">
        <v>27</v>
      </c>
      <c r="I200" s="15">
        <v>1495.93</v>
      </c>
      <c r="J200" s="15">
        <f>+Tabla1[[#This Row],[Importe]]*0.1</f>
        <v>149.59300000000002</v>
      </c>
      <c r="K200" s="15">
        <f>+I200-J200</f>
        <v>1346.337</v>
      </c>
      <c r="L200" s="14">
        <f>DATE(2026,8,14)</f>
        <v>46248</v>
      </c>
      <c r="M200" s="14" t="s">
        <v>383</v>
      </c>
      <c r="N200" s="13" t="s">
        <v>286</v>
      </c>
      <c r="O200" s="13">
        <v>1267.74</v>
      </c>
      <c r="P200" s="13">
        <v>228.19</v>
      </c>
      <c r="Q200" s="13" t="s">
        <v>551</v>
      </c>
      <c r="R200" s="24" t="s">
        <v>585</v>
      </c>
      <c r="S200" s="13">
        <v>508</v>
      </c>
    </row>
    <row r="201" spans="1:19" x14ac:dyDescent="0.25">
      <c r="B201" t="s">
        <v>17</v>
      </c>
      <c r="C201" t="s">
        <v>22</v>
      </c>
      <c r="D201" t="s">
        <v>496</v>
      </c>
      <c r="E201" s="2">
        <f>DATE(2026,8,18)</f>
        <v>46252</v>
      </c>
      <c r="F201">
        <v>20602052703</v>
      </c>
      <c r="G201" t="s">
        <v>497</v>
      </c>
      <c r="H201" t="s">
        <v>27</v>
      </c>
      <c r="I201" s="1">
        <v>2100</v>
      </c>
      <c r="J201" s="1"/>
      <c r="K201" s="1">
        <v>2100</v>
      </c>
      <c r="L201" s="2">
        <f>DATE(2026,8,18)</f>
        <v>46252</v>
      </c>
      <c r="M201" s="2"/>
      <c r="N201" t="s">
        <v>498</v>
      </c>
      <c r="O201">
        <v>2100</v>
      </c>
      <c r="P201">
        <v>0</v>
      </c>
      <c r="Q201" t="s">
        <v>581</v>
      </c>
      <c r="R201" s="22" t="s">
        <v>557</v>
      </c>
    </row>
    <row r="202" spans="1:19" hidden="1" x14ac:dyDescent="0.25">
      <c r="A202">
        <v>260700017</v>
      </c>
      <c r="B202" t="s">
        <v>17</v>
      </c>
      <c r="C202" t="s">
        <v>7</v>
      </c>
      <c r="D202" t="s">
        <v>64</v>
      </c>
      <c r="E202" s="2">
        <f>DATE(2026,7,24)</f>
        <v>46227</v>
      </c>
      <c r="F202">
        <v>10106296168</v>
      </c>
      <c r="G202" t="s">
        <v>65</v>
      </c>
      <c r="H202" t="s">
        <v>27</v>
      </c>
      <c r="I202" s="1">
        <v>60</v>
      </c>
      <c r="J202" s="1"/>
      <c r="K202" s="1">
        <f>+I202-J202</f>
        <v>60</v>
      </c>
      <c r="L202" s="2">
        <f>DATE(2026,7,24)</f>
        <v>46227</v>
      </c>
      <c r="M202" s="2" t="s">
        <v>382</v>
      </c>
      <c r="N202" t="s">
        <v>66</v>
      </c>
    </row>
    <row r="203" spans="1:19" hidden="1" x14ac:dyDescent="0.25">
      <c r="A203">
        <v>260700009</v>
      </c>
      <c r="B203" t="s">
        <v>17</v>
      </c>
      <c r="C203" t="s">
        <v>7</v>
      </c>
      <c r="D203" t="s">
        <v>67</v>
      </c>
      <c r="E203" s="2">
        <f>DATE(2026,7,24)</f>
        <v>46227</v>
      </c>
      <c r="F203">
        <v>10106296168</v>
      </c>
      <c r="G203" t="s">
        <v>65</v>
      </c>
      <c r="H203" t="s">
        <v>27</v>
      </c>
      <c r="I203" s="1">
        <v>60</v>
      </c>
      <c r="J203" s="1"/>
      <c r="K203" s="1">
        <f>+I203-J203</f>
        <v>60</v>
      </c>
      <c r="L203" s="2">
        <f>DATE(2026,7,24)</f>
        <v>46227</v>
      </c>
      <c r="M203" s="2" t="s">
        <v>382</v>
      </c>
      <c r="N203" t="s">
        <v>68</v>
      </c>
    </row>
    <row r="204" spans="1:19" hidden="1" x14ac:dyDescent="0.25">
      <c r="A204" s="8">
        <v>260700011</v>
      </c>
      <c r="B204" s="8" t="s">
        <v>17</v>
      </c>
      <c r="C204" s="8" t="s">
        <v>7</v>
      </c>
      <c r="D204" s="8" t="s">
        <v>178</v>
      </c>
      <c r="E204" s="9">
        <f>DATE(2026,7,13)</f>
        <v>46216</v>
      </c>
      <c r="F204" s="8">
        <v>10106296168</v>
      </c>
      <c r="G204" s="8" t="s">
        <v>65</v>
      </c>
      <c r="H204" s="8" t="s">
        <v>27</v>
      </c>
      <c r="I204" s="7">
        <v>135</v>
      </c>
      <c r="J204" s="7"/>
      <c r="K204" s="7">
        <v>135</v>
      </c>
      <c r="L204" s="9">
        <f>DATE(2026,7,13)</f>
        <v>46216</v>
      </c>
      <c r="M204" s="9" t="s">
        <v>381</v>
      </c>
      <c r="N204" s="8" t="s">
        <v>179</v>
      </c>
      <c r="O204" s="8"/>
      <c r="P204" s="8"/>
      <c r="Q204" s="8"/>
      <c r="R204" s="8"/>
      <c r="S204" s="8"/>
    </row>
    <row r="205" spans="1:19" hidden="1" x14ac:dyDescent="0.25">
      <c r="A205" s="8">
        <v>260700003</v>
      </c>
      <c r="B205" s="8" t="s">
        <v>17</v>
      </c>
      <c r="C205" s="8" t="s">
        <v>7</v>
      </c>
      <c r="D205" s="8" t="s">
        <v>180</v>
      </c>
      <c r="E205" s="9">
        <f>DATE(2026,7,14)</f>
        <v>46217</v>
      </c>
      <c r="F205" s="8">
        <v>10106296168</v>
      </c>
      <c r="G205" s="8" t="s">
        <v>65</v>
      </c>
      <c r="H205" s="8" t="s">
        <v>27</v>
      </c>
      <c r="I205" s="7">
        <v>75</v>
      </c>
      <c r="J205" s="7"/>
      <c r="K205" s="7">
        <v>75</v>
      </c>
      <c r="L205" s="9">
        <f>DATE(2026,7,14)</f>
        <v>46217</v>
      </c>
      <c r="M205" s="9" t="s">
        <v>381</v>
      </c>
      <c r="N205" s="8" t="s">
        <v>181</v>
      </c>
      <c r="O205" s="8"/>
      <c r="P205" s="8"/>
      <c r="Q205" s="8"/>
      <c r="R205" s="8"/>
      <c r="S205" s="8"/>
    </row>
    <row r="206" spans="1:19" x14ac:dyDescent="0.25">
      <c r="A206" s="8">
        <v>260700012</v>
      </c>
      <c r="B206" s="8" t="s">
        <v>17</v>
      </c>
      <c r="C206" s="8" t="s">
        <v>7</v>
      </c>
      <c r="D206" s="8" t="s">
        <v>516</v>
      </c>
      <c r="E206" s="9">
        <f>DATE(2026,8,4)</f>
        <v>46238</v>
      </c>
      <c r="F206" s="8">
        <v>10408222490</v>
      </c>
      <c r="G206" s="8" t="s">
        <v>462</v>
      </c>
      <c r="H206" s="8" t="s">
        <v>27</v>
      </c>
      <c r="I206" s="7">
        <v>190</v>
      </c>
      <c r="J206" s="7"/>
      <c r="K206" s="7">
        <v>190</v>
      </c>
      <c r="L206" s="9">
        <f>DATE(2026,8,4)</f>
        <v>46238</v>
      </c>
      <c r="M206" s="9"/>
      <c r="N206" s="8" t="s">
        <v>517</v>
      </c>
      <c r="O206" s="8">
        <v>190</v>
      </c>
      <c r="P206" s="8">
        <v>0</v>
      </c>
      <c r="Q206" s="8" t="s">
        <v>7</v>
      </c>
      <c r="R206" s="17" t="s">
        <v>557</v>
      </c>
      <c r="S206" s="8"/>
    </row>
    <row r="207" spans="1:19" x14ac:dyDescent="0.25">
      <c r="A207" s="8">
        <v>260100003</v>
      </c>
      <c r="B207" s="8" t="s">
        <v>17</v>
      </c>
      <c r="C207" s="8" t="s">
        <v>22</v>
      </c>
      <c r="D207" s="8" t="s">
        <v>518</v>
      </c>
      <c r="E207" s="9">
        <f t="shared" ref="E207:E218" si="3">DATE(2026,8,6)</f>
        <v>46240</v>
      </c>
      <c r="F207" s="8">
        <v>20603668406</v>
      </c>
      <c r="G207" s="8" t="s">
        <v>519</v>
      </c>
      <c r="H207" s="8" t="s">
        <v>27</v>
      </c>
      <c r="I207" s="7">
        <v>140</v>
      </c>
      <c r="J207" s="7"/>
      <c r="K207" s="7">
        <v>140</v>
      </c>
      <c r="L207" s="9">
        <f t="shared" ref="L207:L218" si="4">DATE(2026,8,15)</f>
        <v>46249</v>
      </c>
      <c r="M207" s="9"/>
      <c r="N207" s="8" t="s">
        <v>520</v>
      </c>
      <c r="O207" s="8">
        <v>118.64</v>
      </c>
      <c r="P207" s="8">
        <v>21.36</v>
      </c>
      <c r="Q207" s="8" t="s">
        <v>551</v>
      </c>
      <c r="R207" s="17" t="s">
        <v>557</v>
      </c>
      <c r="S207" s="8"/>
    </row>
    <row r="208" spans="1:19" x14ac:dyDescent="0.25">
      <c r="A208" s="8">
        <v>260500001</v>
      </c>
      <c r="B208" s="8" t="s">
        <v>17</v>
      </c>
      <c r="C208" s="8" t="s">
        <v>22</v>
      </c>
      <c r="D208" s="8" t="s">
        <v>521</v>
      </c>
      <c r="E208" s="9">
        <f t="shared" si="3"/>
        <v>46240</v>
      </c>
      <c r="F208" s="8">
        <v>20603668406</v>
      </c>
      <c r="G208" s="8" t="s">
        <v>519</v>
      </c>
      <c r="H208" s="8" t="s">
        <v>27</v>
      </c>
      <c r="I208" s="7">
        <v>105</v>
      </c>
      <c r="J208" s="7"/>
      <c r="K208" s="7">
        <v>105</v>
      </c>
      <c r="L208" s="9">
        <f t="shared" si="4"/>
        <v>46249</v>
      </c>
      <c r="M208" s="9"/>
      <c r="N208" s="8" t="s">
        <v>522</v>
      </c>
      <c r="O208" s="8">
        <v>88.98</v>
      </c>
      <c r="P208" s="8">
        <v>16.02</v>
      </c>
      <c r="Q208" s="8" t="s">
        <v>551</v>
      </c>
      <c r="R208" s="17" t="s">
        <v>557</v>
      </c>
      <c r="S208" s="8"/>
    </row>
    <row r="209" spans="1:19" x14ac:dyDescent="0.25">
      <c r="A209" s="8">
        <v>260500002</v>
      </c>
      <c r="B209" s="8" t="s">
        <v>17</v>
      </c>
      <c r="C209" s="8" t="s">
        <v>22</v>
      </c>
      <c r="D209" s="8" t="s">
        <v>523</v>
      </c>
      <c r="E209" s="9">
        <f t="shared" si="3"/>
        <v>46240</v>
      </c>
      <c r="F209" s="8">
        <v>20603668406</v>
      </c>
      <c r="G209" s="8" t="s">
        <v>519</v>
      </c>
      <c r="H209" s="8" t="s">
        <v>27</v>
      </c>
      <c r="I209" s="7">
        <v>227.5</v>
      </c>
      <c r="J209" s="7">
        <v>27.3</v>
      </c>
      <c r="K209" s="7">
        <v>200.2</v>
      </c>
      <c r="L209" s="9">
        <f t="shared" si="4"/>
        <v>46249</v>
      </c>
      <c r="M209" s="9"/>
      <c r="N209" s="8" t="s">
        <v>524</v>
      </c>
      <c r="O209" s="8">
        <v>192.8</v>
      </c>
      <c r="P209" s="8">
        <v>34.700000000000003</v>
      </c>
      <c r="Q209" s="8" t="s">
        <v>551</v>
      </c>
      <c r="R209" s="17" t="s">
        <v>552</v>
      </c>
      <c r="S209" s="8">
        <v>93</v>
      </c>
    </row>
    <row r="210" spans="1:19" x14ac:dyDescent="0.25">
      <c r="A210" s="8">
        <v>260500003</v>
      </c>
      <c r="B210" s="8" t="s">
        <v>17</v>
      </c>
      <c r="C210" s="8" t="s">
        <v>22</v>
      </c>
      <c r="D210" s="8" t="s">
        <v>525</v>
      </c>
      <c r="E210" s="9">
        <f t="shared" si="3"/>
        <v>46240</v>
      </c>
      <c r="F210" s="8">
        <v>20603668406</v>
      </c>
      <c r="G210" s="8" t="s">
        <v>519</v>
      </c>
      <c r="H210" s="8" t="s">
        <v>27</v>
      </c>
      <c r="I210" s="7">
        <v>105</v>
      </c>
      <c r="J210" s="7"/>
      <c r="K210" s="7">
        <v>105</v>
      </c>
      <c r="L210" s="9">
        <f t="shared" si="4"/>
        <v>46249</v>
      </c>
      <c r="M210" s="9"/>
      <c r="N210" s="8" t="s">
        <v>526</v>
      </c>
      <c r="O210" s="8">
        <v>88.98</v>
      </c>
      <c r="P210" s="8">
        <v>16.02</v>
      </c>
      <c r="Q210" s="8" t="s">
        <v>551</v>
      </c>
      <c r="R210" s="17" t="s">
        <v>557</v>
      </c>
      <c r="S210" s="8"/>
    </row>
    <row r="211" spans="1:19" x14ac:dyDescent="0.25">
      <c r="A211" s="8">
        <v>260500005</v>
      </c>
      <c r="B211" s="8" t="s">
        <v>17</v>
      </c>
      <c r="C211" s="8" t="s">
        <v>22</v>
      </c>
      <c r="D211" s="8" t="s">
        <v>527</v>
      </c>
      <c r="E211" s="9">
        <f t="shared" si="3"/>
        <v>46240</v>
      </c>
      <c r="F211" s="8">
        <v>20603668406</v>
      </c>
      <c r="G211" s="8" t="s">
        <v>519</v>
      </c>
      <c r="H211" s="8" t="s">
        <v>27</v>
      </c>
      <c r="I211" s="7">
        <v>157.5</v>
      </c>
      <c r="J211" s="7"/>
      <c r="K211" s="7">
        <v>157.5</v>
      </c>
      <c r="L211" s="9">
        <f t="shared" si="4"/>
        <v>46249</v>
      </c>
      <c r="M211" s="9"/>
      <c r="N211" s="8" t="s">
        <v>528</v>
      </c>
      <c r="O211" s="8">
        <v>133.47999999999999</v>
      </c>
      <c r="P211" s="8">
        <v>24.03</v>
      </c>
      <c r="Q211" s="8" t="s">
        <v>551</v>
      </c>
      <c r="R211" s="17" t="s">
        <v>557</v>
      </c>
      <c r="S211" s="8"/>
    </row>
    <row r="212" spans="1:19" x14ac:dyDescent="0.25">
      <c r="A212" s="8">
        <v>260500007</v>
      </c>
      <c r="B212" s="8" t="s">
        <v>17</v>
      </c>
      <c r="C212" s="8" t="s">
        <v>22</v>
      </c>
      <c r="D212" s="8" t="s">
        <v>529</v>
      </c>
      <c r="E212" s="9">
        <f t="shared" si="3"/>
        <v>46240</v>
      </c>
      <c r="F212" s="8">
        <v>20603668406</v>
      </c>
      <c r="G212" s="8" t="s">
        <v>519</v>
      </c>
      <c r="H212" s="8" t="s">
        <v>27</v>
      </c>
      <c r="I212" s="7">
        <v>210</v>
      </c>
      <c r="J212" s="7">
        <v>25.2</v>
      </c>
      <c r="K212" s="7">
        <v>184.8</v>
      </c>
      <c r="L212" s="9">
        <f t="shared" si="4"/>
        <v>46249</v>
      </c>
      <c r="M212" s="9"/>
      <c r="N212" s="8" t="s">
        <v>530</v>
      </c>
      <c r="O212" s="8">
        <v>177.97</v>
      </c>
      <c r="P212" s="8">
        <v>32.03</v>
      </c>
      <c r="Q212" s="8" t="s">
        <v>551</v>
      </c>
      <c r="R212" s="17" t="s">
        <v>552</v>
      </c>
      <c r="S212" s="8">
        <v>86</v>
      </c>
    </row>
    <row r="213" spans="1:19" x14ac:dyDescent="0.25">
      <c r="A213" s="8">
        <v>260500009</v>
      </c>
      <c r="B213" s="8" t="s">
        <v>17</v>
      </c>
      <c r="C213" s="8" t="s">
        <v>22</v>
      </c>
      <c r="D213" s="8" t="s">
        <v>531</v>
      </c>
      <c r="E213" s="9">
        <f t="shared" si="3"/>
        <v>46240</v>
      </c>
      <c r="F213" s="8">
        <v>20603668406</v>
      </c>
      <c r="G213" s="8" t="s">
        <v>519</v>
      </c>
      <c r="H213" s="8" t="s">
        <v>27</v>
      </c>
      <c r="I213" s="7">
        <v>157.5</v>
      </c>
      <c r="J213" s="7"/>
      <c r="K213" s="7">
        <v>157.5</v>
      </c>
      <c r="L213" s="9">
        <f t="shared" si="4"/>
        <v>46249</v>
      </c>
      <c r="M213" s="9"/>
      <c r="N213" s="8" t="s">
        <v>532</v>
      </c>
      <c r="O213" s="8">
        <v>133.47999999999999</v>
      </c>
      <c r="P213" s="8">
        <v>24.03</v>
      </c>
      <c r="Q213" s="8" t="s">
        <v>551</v>
      </c>
      <c r="R213" s="17" t="s">
        <v>557</v>
      </c>
      <c r="S213" s="8"/>
    </row>
    <row r="214" spans="1:19" x14ac:dyDescent="0.25">
      <c r="A214" s="8">
        <v>260500012</v>
      </c>
      <c r="B214" s="8" t="s">
        <v>17</v>
      </c>
      <c r="C214" s="8" t="s">
        <v>22</v>
      </c>
      <c r="D214" s="8" t="s">
        <v>533</v>
      </c>
      <c r="E214" s="9">
        <f t="shared" si="3"/>
        <v>46240</v>
      </c>
      <c r="F214" s="8">
        <v>20603668406</v>
      </c>
      <c r="G214" s="8" t="s">
        <v>519</v>
      </c>
      <c r="H214" s="8" t="s">
        <v>27</v>
      </c>
      <c r="I214" s="7">
        <v>192.5</v>
      </c>
      <c r="J214" s="7"/>
      <c r="K214" s="7">
        <v>192.5</v>
      </c>
      <c r="L214" s="9">
        <f t="shared" si="4"/>
        <v>46249</v>
      </c>
      <c r="M214" s="9"/>
      <c r="N214" s="8" t="s">
        <v>534</v>
      </c>
      <c r="O214" s="8">
        <v>163.13999999999999</v>
      </c>
      <c r="P214" s="8">
        <v>29.36</v>
      </c>
      <c r="Q214" s="8" t="s">
        <v>551</v>
      </c>
      <c r="R214" s="17" t="s">
        <v>557</v>
      </c>
      <c r="S214" s="8"/>
    </row>
    <row r="215" spans="1:19" x14ac:dyDescent="0.25">
      <c r="A215" s="8">
        <v>260500013</v>
      </c>
      <c r="B215" s="8" t="s">
        <v>17</v>
      </c>
      <c r="C215" s="8" t="s">
        <v>22</v>
      </c>
      <c r="D215" s="8" t="s">
        <v>535</v>
      </c>
      <c r="E215" s="9">
        <f t="shared" si="3"/>
        <v>46240</v>
      </c>
      <c r="F215" s="8">
        <v>20603668406</v>
      </c>
      <c r="G215" s="8" t="s">
        <v>519</v>
      </c>
      <c r="H215" s="8" t="s">
        <v>27</v>
      </c>
      <c r="I215" s="7">
        <v>122.5</v>
      </c>
      <c r="J215" s="7"/>
      <c r="K215" s="7">
        <v>122.5</v>
      </c>
      <c r="L215" s="9">
        <f t="shared" si="4"/>
        <v>46249</v>
      </c>
      <c r="M215" s="9"/>
      <c r="N215" s="8" t="s">
        <v>536</v>
      </c>
      <c r="O215" s="8">
        <v>103.81</v>
      </c>
      <c r="P215" s="8">
        <v>18.690000000000001</v>
      </c>
      <c r="Q215" s="8" t="s">
        <v>551</v>
      </c>
      <c r="R215" s="17" t="s">
        <v>557</v>
      </c>
      <c r="S215" s="8"/>
    </row>
    <row r="216" spans="1:19" x14ac:dyDescent="0.25">
      <c r="A216" s="8">
        <v>260500014</v>
      </c>
      <c r="B216" s="8" t="s">
        <v>17</v>
      </c>
      <c r="C216" s="8" t="s">
        <v>22</v>
      </c>
      <c r="D216" s="8" t="s">
        <v>537</v>
      </c>
      <c r="E216" s="9">
        <f t="shared" si="3"/>
        <v>46240</v>
      </c>
      <c r="F216" s="8">
        <v>20603668406</v>
      </c>
      <c r="G216" s="8" t="s">
        <v>519</v>
      </c>
      <c r="H216" s="8" t="s">
        <v>27</v>
      </c>
      <c r="I216" s="7">
        <v>122.5</v>
      </c>
      <c r="J216" s="7"/>
      <c r="K216" s="7">
        <v>122.5</v>
      </c>
      <c r="L216" s="9">
        <f t="shared" si="4"/>
        <v>46249</v>
      </c>
      <c r="M216" s="9"/>
      <c r="N216" s="8" t="s">
        <v>538</v>
      </c>
      <c r="O216" s="8">
        <v>103.81</v>
      </c>
      <c r="P216" s="8">
        <v>18.690000000000001</v>
      </c>
      <c r="Q216" s="8" t="s">
        <v>551</v>
      </c>
      <c r="R216" s="17" t="s">
        <v>557</v>
      </c>
      <c r="S216" s="8"/>
    </row>
    <row r="217" spans="1:19" x14ac:dyDescent="0.25">
      <c r="A217" s="8">
        <v>260500015</v>
      </c>
      <c r="B217" s="8" t="s">
        <v>17</v>
      </c>
      <c r="C217" s="8" t="s">
        <v>22</v>
      </c>
      <c r="D217" s="8" t="s">
        <v>539</v>
      </c>
      <c r="E217" s="9">
        <f t="shared" si="3"/>
        <v>46240</v>
      </c>
      <c r="F217" s="8">
        <v>20603668406</v>
      </c>
      <c r="G217" s="8" t="s">
        <v>519</v>
      </c>
      <c r="H217" s="8" t="s">
        <v>27</v>
      </c>
      <c r="I217" s="7">
        <v>157.5</v>
      </c>
      <c r="J217" s="7"/>
      <c r="K217" s="7">
        <v>157.5</v>
      </c>
      <c r="L217" s="9">
        <f t="shared" si="4"/>
        <v>46249</v>
      </c>
      <c r="M217" s="9"/>
      <c r="N217" s="8" t="s">
        <v>540</v>
      </c>
      <c r="O217" s="8">
        <v>133.47999999999999</v>
      </c>
      <c r="P217" s="8">
        <v>24.03</v>
      </c>
      <c r="Q217" s="8" t="s">
        <v>551</v>
      </c>
      <c r="R217" s="17" t="s">
        <v>557</v>
      </c>
      <c r="S217" s="8"/>
    </row>
    <row r="218" spans="1:19" x14ac:dyDescent="0.25">
      <c r="A218" s="8">
        <v>260500016</v>
      </c>
      <c r="B218" s="8" t="s">
        <v>17</v>
      </c>
      <c r="C218" s="8" t="s">
        <v>22</v>
      </c>
      <c r="D218" s="8" t="s">
        <v>541</v>
      </c>
      <c r="E218" s="9">
        <f t="shared" si="3"/>
        <v>46240</v>
      </c>
      <c r="F218" s="8">
        <v>20603668406</v>
      </c>
      <c r="G218" s="8" t="s">
        <v>519</v>
      </c>
      <c r="H218" s="8" t="s">
        <v>27</v>
      </c>
      <c r="I218" s="7">
        <v>192.5</v>
      </c>
      <c r="J218" s="7"/>
      <c r="K218" s="7">
        <v>192.5</v>
      </c>
      <c r="L218" s="9">
        <f t="shared" si="4"/>
        <v>46249</v>
      </c>
      <c r="M218" s="9"/>
      <c r="N218" s="8" t="s">
        <v>542</v>
      </c>
      <c r="O218" s="8">
        <v>163.13999999999999</v>
      </c>
      <c r="P218" s="8">
        <v>29.36</v>
      </c>
      <c r="Q218" s="8" t="s">
        <v>551</v>
      </c>
      <c r="R218" s="17" t="s">
        <v>557</v>
      </c>
      <c r="S218" s="8"/>
    </row>
    <row r="219" spans="1:19" x14ac:dyDescent="0.25">
      <c r="A219" s="8"/>
      <c r="B219" s="8" t="s">
        <v>15</v>
      </c>
      <c r="C219" s="8" t="s">
        <v>22</v>
      </c>
      <c r="D219" s="8" t="s">
        <v>548</v>
      </c>
      <c r="E219" s="20">
        <v>46253</v>
      </c>
      <c r="F219" s="8">
        <v>20307167442</v>
      </c>
      <c r="G219" s="8" t="s">
        <v>549</v>
      </c>
      <c r="H219" s="8" t="s">
        <v>11</v>
      </c>
      <c r="I219" s="7">
        <v>6012</v>
      </c>
      <c r="J219" s="7">
        <v>721.44</v>
      </c>
      <c r="K219" s="7">
        <v>5290.56</v>
      </c>
      <c r="L219" s="20">
        <v>46253</v>
      </c>
      <c r="M219" s="9"/>
      <c r="N219" s="8" t="s">
        <v>550</v>
      </c>
      <c r="O219" s="8">
        <v>5094.92</v>
      </c>
      <c r="P219" s="8">
        <v>917.08</v>
      </c>
      <c r="Q219" s="8" t="s">
        <v>551</v>
      </c>
      <c r="R219" s="17" t="s">
        <v>552</v>
      </c>
      <c r="S219" s="8">
        <v>721.44</v>
      </c>
    </row>
    <row r="220" spans="1:19" x14ac:dyDescent="0.25">
      <c r="A220" s="8">
        <v>260800003</v>
      </c>
      <c r="B220" s="8" t="s">
        <v>17</v>
      </c>
      <c r="C220" s="8" t="s">
        <v>22</v>
      </c>
      <c r="D220" s="8" t="s">
        <v>553</v>
      </c>
      <c r="E220" s="20">
        <v>46254</v>
      </c>
      <c r="F220" s="8">
        <v>20419195317</v>
      </c>
      <c r="G220" s="8" t="s">
        <v>554</v>
      </c>
      <c r="H220" s="8" t="s">
        <v>27</v>
      </c>
      <c r="I220" s="7">
        <v>806.96</v>
      </c>
      <c r="J220" s="7"/>
      <c r="K220" s="7">
        <v>806.96</v>
      </c>
      <c r="L220" s="20">
        <v>46254</v>
      </c>
      <c r="M220" s="9"/>
      <c r="N220" s="8" t="s">
        <v>555</v>
      </c>
      <c r="O220" s="8">
        <v>806.96</v>
      </c>
      <c r="P220" s="8">
        <v>0</v>
      </c>
      <c r="Q220" s="8" t="s">
        <v>556</v>
      </c>
      <c r="R220" s="17" t="s">
        <v>557</v>
      </c>
      <c r="S220" s="8"/>
    </row>
    <row r="221" spans="1:19" x14ac:dyDescent="0.25">
      <c r="A221" s="8"/>
      <c r="B221" s="8" t="s">
        <v>17</v>
      </c>
      <c r="C221" s="8" t="s">
        <v>22</v>
      </c>
      <c r="D221" s="8" t="s">
        <v>558</v>
      </c>
      <c r="E221" s="20">
        <v>46254</v>
      </c>
      <c r="F221" s="8">
        <v>20510931514</v>
      </c>
      <c r="G221" s="8" t="s">
        <v>559</v>
      </c>
      <c r="H221" s="8" t="s">
        <v>27</v>
      </c>
      <c r="I221" s="7">
        <v>936</v>
      </c>
      <c r="J221" s="7"/>
      <c r="K221" s="7">
        <v>936</v>
      </c>
      <c r="L221" s="20">
        <v>46254</v>
      </c>
      <c r="M221" s="9"/>
      <c r="N221" s="8" t="s">
        <v>560</v>
      </c>
      <c r="O221" s="8">
        <v>936</v>
      </c>
      <c r="P221" s="8">
        <v>0</v>
      </c>
      <c r="Q221" s="8" t="s">
        <v>556</v>
      </c>
      <c r="R221" s="17" t="s">
        <v>557</v>
      </c>
      <c r="S221" s="8"/>
    </row>
    <row r="222" spans="1:19" x14ac:dyDescent="0.25">
      <c r="A222" s="8">
        <v>260700010</v>
      </c>
      <c r="B222" s="8" t="s">
        <v>17</v>
      </c>
      <c r="C222" s="8" t="s">
        <v>22</v>
      </c>
      <c r="D222" s="8" t="s">
        <v>561</v>
      </c>
      <c r="E222" s="20">
        <v>46254</v>
      </c>
      <c r="F222" s="8">
        <v>20536047906</v>
      </c>
      <c r="G222" s="8" t="s">
        <v>327</v>
      </c>
      <c r="H222" s="8" t="s">
        <v>27</v>
      </c>
      <c r="I222" s="7">
        <v>68</v>
      </c>
      <c r="J222" s="7"/>
      <c r="K222" s="7">
        <v>68</v>
      </c>
      <c r="L222" s="20">
        <v>46254</v>
      </c>
      <c r="M222" s="9"/>
      <c r="N222" s="8" t="s">
        <v>562</v>
      </c>
      <c r="O222" s="8">
        <v>68</v>
      </c>
      <c r="P222" s="8">
        <v>0</v>
      </c>
      <c r="Q222" s="8" t="s">
        <v>556</v>
      </c>
      <c r="R222" s="17" t="s">
        <v>557</v>
      </c>
      <c r="S222" s="8"/>
    </row>
    <row r="223" spans="1:19" x14ac:dyDescent="0.25">
      <c r="A223" s="8">
        <v>260800003</v>
      </c>
      <c r="B223" s="8" t="s">
        <v>17</v>
      </c>
      <c r="C223" s="8" t="s">
        <v>22</v>
      </c>
      <c r="D223" s="8" t="s">
        <v>563</v>
      </c>
      <c r="E223" s="20">
        <v>46254</v>
      </c>
      <c r="F223" s="8">
        <v>20536047906</v>
      </c>
      <c r="G223" s="8" t="s">
        <v>327</v>
      </c>
      <c r="H223" s="8" t="s">
        <v>27</v>
      </c>
      <c r="I223" s="7">
        <v>152</v>
      </c>
      <c r="J223" s="7"/>
      <c r="K223" s="7">
        <v>152</v>
      </c>
      <c r="L223" s="20">
        <v>46254</v>
      </c>
      <c r="M223" s="9"/>
      <c r="N223" s="8" t="s">
        <v>564</v>
      </c>
      <c r="O223" s="8">
        <v>152</v>
      </c>
      <c r="P223" s="8">
        <v>0</v>
      </c>
      <c r="Q223" s="8" t="s">
        <v>556</v>
      </c>
      <c r="R223" s="17" t="s">
        <v>557</v>
      </c>
      <c r="S223" s="8"/>
    </row>
    <row r="224" spans="1:19" x14ac:dyDescent="0.25">
      <c r="A224" s="8"/>
      <c r="B224" s="8" t="s">
        <v>17</v>
      </c>
      <c r="C224" s="8" t="s">
        <v>22</v>
      </c>
      <c r="D224" s="8" t="s">
        <v>565</v>
      </c>
      <c r="E224" s="20">
        <v>46254</v>
      </c>
      <c r="F224" s="8">
        <v>20563817675</v>
      </c>
      <c r="G224" s="8" t="s">
        <v>566</v>
      </c>
      <c r="H224" s="8" t="s">
        <v>27</v>
      </c>
      <c r="I224" s="7">
        <v>215</v>
      </c>
      <c r="J224" s="7"/>
      <c r="K224" s="7">
        <v>215</v>
      </c>
      <c r="L224" s="20">
        <v>46255</v>
      </c>
      <c r="M224" s="9"/>
      <c r="N224" s="8" t="s">
        <v>567</v>
      </c>
      <c r="O224" s="8">
        <v>196.27</v>
      </c>
      <c r="P224" s="8">
        <v>18.73</v>
      </c>
      <c r="Q224" s="8" t="s">
        <v>551</v>
      </c>
      <c r="R224" s="17" t="s">
        <v>557</v>
      </c>
      <c r="S224" s="8"/>
    </row>
    <row r="225" spans="1:19" x14ac:dyDescent="0.25">
      <c r="A225" s="8"/>
      <c r="B225" s="8" t="s">
        <v>17</v>
      </c>
      <c r="C225" s="8" t="s">
        <v>22</v>
      </c>
      <c r="D225" s="8" t="s">
        <v>568</v>
      </c>
      <c r="E225" s="20">
        <v>46254</v>
      </c>
      <c r="F225" s="8">
        <v>20563817675</v>
      </c>
      <c r="G225" s="8" t="s">
        <v>566</v>
      </c>
      <c r="H225" s="8" t="s">
        <v>27</v>
      </c>
      <c r="I225" s="7">
        <v>230</v>
      </c>
      <c r="J225" s="7"/>
      <c r="K225" s="7">
        <v>230</v>
      </c>
      <c r="L225" s="20">
        <v>46255</v>
      </c>
      <c r="M225" s="9"/>
      <c r="N225" s="8" t="s">
        <v>569</v>
      </c>
      <c r="O225" s="8">
        <v>230</v>
      </c>
      <c r="P225" s="8">
        <v>0</v>
      </c>
      <c r="Q225" s="8" t="s">
        <v>556</v>
      </c>
      <c r="R225" s="17" t="s">
        <v>557</v>
      </c>
      <c r="S225" s="8"/>
    </row>
    <row r="226" spans="1:19" x14ac:dyDescent="0.25">
      <c r="A226" s="8"/>
      <c r="B226" s="8" t="s">
        <v>17</v>
      </c>
      <c r="C226" s="8" t="s">
        <v>451</v>
      </c>
      <c r="D226" s="8" t="s">
        <v>570</v>
      </c>
      <c r="E226" s="20">
        <v>46254</v>
      </c>
      <c r="F226" s="8">
        <v>20563817675</v>
      </c>
      <c r="G226" s="8" t="s">
        <v>566</v>
      </c>
      <c r="H226" s="8" t="s">
        <v>27</v>
      </c>
      <c r="I226" s="7">
        <v>-230</v>
      </c>
      <c r="J226" s="7"/>
      <c r="K226" s="7">
        <v>-230</v>
      </c>
      <c r="L226" s="20"/>
      <c r="M226" s="9"/>
      <c r="N226" s="8" t="s">
        <v>571</v>
      </c>
      <c r="O226" s="8">
        <v>-209.96</v>
      </c>
      <c r="P226" s="8">
        <v>-20.04</v>
      </c>
      <c r="Q226" s="8" t="s">
        <v>551</v>
      </c>
      <c r="R226" s="17" t="s">
        <v>557</v>
      </c>
      <c r="S226" s="8"/>
    </row>
    <row r="227" spans="1:19" x14ac:dyDescent="0.25">
      <c r="A227" s="8">
        <v>260800004</v>
      </c>
      <c r="B227" s="8" t="s">
        <v>17</v>
      </c>
      <c r="C227" s="8" t="s">
        <v>22</v>
      </c>
      <c r="D227" s="8" t="s">
        <v>572</v>
      </c>
      <c r="E227" s="20">
        <v>46254</v>
      </c>
      <c r="F227" s="8">
        <v>20225253529</v>
      </c>
      <c r="G227" s="8" t="s">
        <v>134</v>
      </c>
      <c r="H227" s="8" t="s">
        <v>27</v>
      </c>
      <c r="I227" s="7">
        <v>219.52</v>
      </c>
      <c r="J227" s="7">
        <v>26.34</v>
      </c>
      <c r="K227" s="7">
        <v>193.18</v>
      </c>
      <c r="L227" s="20">
        <v>46259</v>
      </c>
      <c r="M227" s="9"/>
      <c r="N227" s="8" t="s">
        <v>573</v>
      </c>
      <c r="O227" s="8">
        <v>186.03</v>
      </c>
      <c r="P227" s="8">
        <v>33.49</v>
      </c>
      <c r="Q227" s="8" t="s">
        <v>551</v>
      </c>
      <c r="R227" s="17" t="s">
        <v>552</v>
      </c>
      <c r="S227" s="8">
        <v>89</v>
      </c>
    </row>
    <row r="228" spans="1:19" x14ac:dyDescent="0.25">
      <c r="A228" s="8"/>
      <c r="B228" s="8" t="s">
        <v>17</v>
      </c>
      <c r="C228" s="8" t="s">
        <v>22</v>
      </c>
      <c r="D228" s="8" t="s">
        <v>574</v>
      </c>
      <c r="E228" s="20">
        <v>46252</v>
      </c>
      <c r="F228" s="8">
        <v>20602752888</v>
      </c>
      <c r="G228" s="8" t="s">
        <v>575</v>
      </c>
      <c r="H228" s="8" t="s">
        <v>27</v>
      </c>
      <c r="I228" s="7">
        <v>560</v>
      </c>
      <c r="J228" s="7"/>
      <c r="K228" s="7">
        <v>560</v>
      </c>
      <c r="L228" s="20">
        <v>46252</v>
      </c>
      <c r="M228" s="9"/>
      <c r="N228" s="8" t="s">
        <v>576</v>
      </c>
      <c r="O228" s="8">
        <v>560</v>
      </c>
      <c r="P228" s="8">
        <v>0</v>
      </c>
      <c r="Q228" s="8" t="s">
        <v>577</v>
      </c>
      <c r="R228" s="17" t="s">
        <v>557</v>
      </c>
      <c r="S228" s="8"/>
    </row>
    <row r="229" spans="1:19" x14ac:dyDescent="0.25">
      <c r="A229" s="8"/>
      <c r="B229" s="8" t="s">
        <v>17</v>
      </c>
      <c r="C229" s="8" t="s">
        <v>22</v>
      </c>
      <c r="D229" s="8" t="s">
        <v>578</v>
      </c>
      <c r="E229" s="20">
        <v>46252</v>
      </c>
      <c r="F229" s="8">
        <v>20601761310</v>
      </c>
      <c r="G229" s="8" t="s">
        <v>579</v>
      </c>
      <c r="H229" s="8" t="s">
        <v>27</v>
      </c>
      <c r="I229" s="7">
        <v>1288</v>
      </c>
      <c r="J229" s="7"/>
      <c r="K229" s="7">
        <v>1288</v>
      </c>
      <c r="L229" s="20">
        <v>46252</v>
      </c>
      <c r="M229" s="9"/>
      <c r="N229" s="8" t="s">
        <v>580</v>
      </c>
      <c r="O229" s="8">
        <v>1288</v>
      </c>
      <c r="P229" s="8">
        <v>0</v>
      </c>
      <c r="Q229" s="8" t="s">
        <v>581</v>
      </c>
      <c r="R229" s="17" t="s">
        <v>557</v>
      </c>
      <c r="S229" s="8"/>
    </row>
    <row r="230" spans="1:19" x14ac:dyDescent="0.25">
      <c r="A230" s="8"/>
      <c r="B230" s="8" t="s">
        <v>17</v>
      </c>
      <c r="C230" s="8" t="s">
        <v>22</v>
      </c>
      <c r="D230" s="8" t="s">
        <v>582</v>
      </c>
      <c r="E230" s="20">
        <v>46253</v>
      </c>
      <c r="F230" s="8">
        <v>10756090416</v>
      </c>
      <c r="G230" s="8" t="s">
        <v>583</v>
      </c>
      <c r="H230" s="8" t="s">
        <v>27</v>
      </c>
      <c r="I230" s="7">
        <v>1329.6</v>
      </c>
      <c r="J230" s="7">
        <v>132.96</v>
      </c>
      <c r="K230" s="7">
        <v>1196.6400000000001</v>
      </c>
      <c r="L230" s="20">
        <v>46253</v>
      </c>
      <c r="M230" s="9"/>
      <c r="N230" s="8" t="s">
        <v>584</v>
      </c>
      <c r="O230" s="8">
        <v>1126.78</v>
      </c>
      <c r="P230" s="8">
        <v>202.82</v>
      </c>
      <c r="Q230" s="8" t="s">
        <v>551</v>
      </c>
      <c r="R230" s="17" t="s">
        <v>585</v>
      </c>
      <c r="S230" s="8">
        <v>446</v>
      </c>
    </row>
    <row r="231" spans="1:19" x14ac:dyDescent="0.25">
      <c r="A231" s="8">
        <v>260800004</v>
      </c>
      <c r="B231" s="8" t="s">
        <v>17</v>
      </c>
      <c r="C231" s="8" t="s">
        <v>7</v>
      </c>
      <c r="D231" s="8" t="s">
        <v>586</v>
      </c>
      <c r="E231" s="20">
        <v>46250</v>
      </c>
      <c r="F231" s="8">
        <v>10214605606</v>
      </c>
      <c r="G231" s="8" t="s">
        <v>47</v>
      </c>
      <c r="H231" s="8" t="s">
        <v>27</v>
      </c>
      <c r="I231" s="7">
        <v>300</v>
      </c>
      <c r="J231" s="7"/>
      <c r="K231" s="7">
        <v>300</v>
      </c>
      <c r="L231" s="20">
        <v>46260</v>
      </c>
      <c r="M231" s="9"/>
      <c r="N231" s="8" t="s">
        <v>587</v>
      </c>
      <c r="O231" s="8">
        <v>300</v>
      </c>
      <c r="P231" s="8">
        <v>0</v>
      </c>
      <c r="Q231" s="8" t="s">
        <v>7</v>
      </c>
      <c r="R231" s="17" t="s">
        <v>557</v>
      </c>
      <c r="S231" s="8"/>
    </row>
    <row r="232" spans="1:19" x14ac:dyDescent="0.25">
      <c r="A232" s="8">
        <v>260700010</v>
      </c>
      <c r="B232" s="8" t="s">
        <v>17</v>
      </c>
      <c r="C232" s="8" t="s">
        <v>7</v>
      </c>
      <c r="D232" s="8" t="s">
        <v>588</v>
      </c>
      <c r="E232" s="20">
        <v>46251</v>
      </c>
      <c r="F232" s="8">
        <v>10214605606</v>
      </c>
      <c r="G232" s="8" t="s">
        <v>47</v>
      </c>
      <c r="H232" s="8" t="s">
        <v>27</v>
      </c>
      <c r="I232" s="7">
        <v>200</v>
      </c>
      <c r="J232" s="7"/>
      <c r="K232" s="7">
        <v>200</v>
      </c>
      <c r="L232" s="20">
        <v>46265</v>
      </c>
      <c r="M232" s="9"/>
      <c r="N232" s="8" t="s">
        <v>589</v>
      </c>
      <c r="O232" s="8">
        <v>200</v>
      </c>
      <c r="P232" s="8">
        <v>0</v>
      </c>
      <c r="Q232" s="8" t="s">
        <v>7</v>
      </c>
      <c r="R232" s="17" t="s">
        <v>557</v>
      </c>
      <c r="S23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2026-08-07T14:04:38Z</dcterms:created>
  <dcterms:modified xsi:type="dcterms:W3CDTF">2026-08-21T17:32:05Z</dcterms:modified>
</cp:coreProperties>
</file>