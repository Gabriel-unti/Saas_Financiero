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oreria01\Documents\CUENTAS_POR_PAGAR\"/>
    </mc:Choice>
  </mc:AlternateContent>
  <xr:revisionPtr revIDLastSave="0" documentId="13_ncr:1_{12A5074F-997B-4EB6-B822-726D845823AF}" xr6:coauthVersionLast="47" xr6:coauthVersionMax="47" xr10:uidLastSave="{00000000-0000-0000-0000-000000000000}"/>
  <bookViews>
    <workbookView xWindow="20370" yWindow="-120" windowWidth="29040" windowHeight="15720" activeTab="3" xr2:uid="{B5717F47-E775-42B0-8824-79F6D0F4F592}"/>
  </bookViews>
  <sheets>
    <sheet name="Hoja1" sheetId="4" r:id="rId1"/>
    <sheet name="Hoja2" sheetId="6" r:id="rId2"/>
    <sheet name="Hoja3" sheetId="8" r:id="rId3"/>
    <sheet name="Hoja4" sheetId="9" r:id="rId4"/>
  </sheets>
  <definedNames>
    <definedName name="DatosExternos_2" localSheetId="2" hidden="1">Hoja3!$A$1:$J$273</definedName>
    <definedName name="DatosExternos_2" localSheetId="3" hidden="1">Hoja4!$A$1:$J$270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48" i="6" l="1"/>
  <c r="F348" i="6"/>
  <c r="F9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D08FFA-C96A-4C20-BC7C-63E19B2A8B32}" keepAlive="1" name="Consulta - Proveedor_Pendientes" description="Conexión a la consulta 'Proveedor_Pendientes' en el libro." type="5" refreshedVersion="8" background="1" saveData="1">
    <dbPr connection="Provider=Microsoft.Mashup.OleDb.1;Data Source=$Workbook$;Location=Proveedor_Pendientes;Extended Properties=&quot;&quot;" command="SELECT * FROM [Proveedor_Pendientes]"/>
  </connection>
  <connection id="2" xr16:uid="{AF2E7092-277C-41D1-AFE6-D4D2C6FCDA2C}" keepAlive="1" name="Consulta - Proveedor_Pendientes (2)" description="Conexión a la consulta 'Proveedor_Pendientes (2)' en el libro." type="5" refreshedVersion="8" background="1" saveData="1">
    <dbPr connection="Provider=Microsoft.Mashup.OleDb.1;Data Source=$Workbook$;Location=&quot;Proveedor_Pendientes (2)&quot;;Extended Properties=&quot;&quot;" command="SELECT * FROM [Proveedor_Pendientes (2)]"/>
  </connection>
  <connection id="3" xr16:uid="{42736B4E-BD09-4419-8F2C-F490AE9CB101}" keepAlive="1" name="Consulta - Proveedor_Pendientes (3)" description="Conexión a la consulta 'Proveedor_Pendientes (3)' en el libro." type="5" refreshedVersion="8" background="1" saveData="1">
    <dbPr connection="Provider=Microsoft.Mashup.OleDb.1;Data Source=$Workbook$;Location=&quot;Proveedor_Pendientes (3)&quot;;Extended Properties=&quot;&quot;" command="SELECT * FROM [Proveedor_Pendientes (3)]"/>
  </connection>
  <connection id="4" xr16:uid="{8F23A371-2BC7-45BF-BED9-DEDD9441BC75}" keepAlive="1" name="Consulta - Proveedor_Pendientes (4)" description="Conexión a la consulta 'Proveedor_Pendientes (4)' en el libro." type="5" refreshedVersion="8" background="1" saveData="1">
    <dbPr connection="Provider=Microsoft.Mashup.OleDb.1;Data Source=$Workbook$;Location=&quot;Proveedor_Pendientes (4)&quot;;Extended Properties=&quot;&quot;" command="SELECT * FROM [Proveedor_Pendientes (4)]"/>
  </connection>
</connections>
</file>

<file path=xl/sharedStrings.xml><?xml version="1.0" encoding="utf-8"?>
<sst xmlns="http://schemas.openxmlformats.org/spreadsheetml/2006/main" count="6879" uniqueCount="977">
  <si>
    <t>File</t>
  </si>
  <si>
    <t>Tipo</t>
  </si>
  <si>
    <t>Proveedor</t>
  </si>
  <si>
    <t>Solicitud</t>
  </si>
  <si>
    <t>FechaVcto</t>
  </si>
  <si>
    <t>Detalle</t>
  </si>
  <si>
    <t>FechaEmision</t>
  </si>
  <si>
    <t>260100003</t>
  </si>
  <si>
    <t>CREDITOS</t>
  </si>
  <si>
    <t>LUXURY ADVENTURE CUSCO PERU</t>
  </si>
  <si>
    <t>010020776</t>
  </si>
  <si>
    <t>USD</t>
  </si>
  <si>
    <t xml:space="preserve">06-Feb-26 | CUZ | OPERADOR TRADICIONALES | 010090 - SERVICIO DE OPERACIÓN HALF DAY| 6PAX ADT_E(6)  = 17.50  07-Feb-26 | CUZ | OPERADOR TRADICIONALES | 008955 - SERVICIO DE OPERACION POR DIA 6PAX ADT_E(6)  = 35.00  08-Feb-26 | CUZ | OPERADOR TRADICIONALES </t>
  </si>
  <si>
    <t>260200003</t>
  </si>
  <si>
    <t>010021116</t>
  </si>
  <si>
    <t xml:space="preserve">18-Feb-26 | CUZ | OPERADOR TRADICIONALES | SERVICIO DE OPERACION 2PAX ADT_E(2)  = 75.00  </t>
  </si>
  <si>
    <t>260400002</t>
  </si>
  <si>
    <t>TRANSPORTES TURISTICOS LASER</t>
  </si>
  <si>
    <t>04-Abr-26 | LIM | TRANSPORTE TURISTICO | TRF APTO LIMA VUELO KL743 - HOTEL CASA REPUBLICA, BARRANCO 3PAX ADT_E(3)  = 37.20  05-Abr-26 | LIM | TRANSPORTE TURISTICO | TFR HTL CASA REPUBLICA, BARRANCO HACIA APTO LIMA VUELO LA2230 3PAX ADT_E(3)  = 37.20  17-A</t>
  </si>
  <si>
    <t>260400006</t>
  </si>
  <si>
    <t>010021416</t>
  </si>
  <si>
    <t>10-Abr-26 | LIM | TRANSPORTE TURISTICO | 005496 - TRF APTO - HTL  OW O V.V MALETERO INC. - 2HRS 4PAX ADT_E(4)  = 35.40  11-Abr-26 | LIM | TRANSPORTE TURISTICO | 008816 - TRF FD GASTRONOMICO - 10 HRS 4PAX ADT_E(4)  = 188.80  12-Abr-26 | LIM | TRANSPORTE TU</t>
  </si>
  <si>
    <t>260500004</t>
  </si>
  <si>
    <t>010021680</t>
  </si>
  <si>
    <t>30-Abr-26 | CUZ | OPERADOR TRADICIONALES | TRF APTO VUELO LA2217/ HTL NOVOTEL CUSCO -MRS SANJANA SHAH 1 PAX  = 10.00  30-Abr-26 | CUZ | OPERADOR TRADICIONALES | TRF APTO VUELO H25017/ HTL NOVOTEL CUSCO -MRS STUTI KAMALIA &amp; ANSHU SINHAL 2PAX ADT_E(7)  = 14</t>
  </si>
  <si>
    <t>010021719</t>
  </si>
  <si>
    <t xml:space="preserve">02-May-26 | CUZ | OPERADOR TRADICIONALES | TRF APTO VUELO LA2120/ HTL NOVOTEL CUSCO -MRS AIMAN KHORAKIWALA 7PAX ADT_E(7)  = 10.00  </t>
  </si>
  <si>
    <t>260400005</t>
  </si>
  <si>
    <t>GABRIELA TOURS</t>
  </si>
  <si>
    <t>010021323</t>
  </si>
  <si>
    <t>27-Abr-26 | CUZ | TRANSPORTE TURISTICO | ESTACION TREN - HTL CASA EVA | LLEGAN EN TITICACA TRAIN 2PAX ADT_E(2)  = 75.00  27-Abr-26 | CUZ | TRANSPORTE TURISTICO | 04  BOTELLA DE FONTEVITA 350 ML ENVASE DE VIDRIO 2PAX ADT_E(2)  = 6.00  29-Abr-26 | VAL | TRA</t>
  </si>
  <si>
    <t>251200008</t>
  </si>
  <si>
    <t>GUIA MAP ING MAMANI QUISPE VICTOR</t>
  </si>
  <si>
    <t>010021832</t>
  </si>
  <si>
    <t xml:space="preserve">27-Dic-25 | MAP | GUIA | GUIADO RUINAS DE MACHU PICCHU 3HRS + ASISTENCIA IN &amp; OUT 4PAX ADT_E(4)  = 160.00  </t>
  </si>
  <si>
    <t>260500001</t>
  </si>
  <si>
    <t>010020935</t>
  </si>
  <si>
    <t>04-May-26 | CUZ | OPERADOR TRADICIONALES | SERVICIO DE OPERACION POR DIA 2PAX ADT_E(2)  = 35.00  05-May-26 | CUZ | OPERADOR TRADICIONALES | SERVICIO DE OPERACION POR DIA 2PAX ADT_E(2)  = 35.00  06-May-26 | CUZ | OPERADOR TRADICIONALES | SERVICIO DE OPERAC</t>
  </si>
  <si>
    <t>260500007</t>
  </si>
  <si>
    <t>ARCOBALENO</t>
  </si>
  <si>
    <t>010020903</t>
  </si>
  <si>
    <t xml:space="preserve">08-May-26 | PUN | OPERADOR TRADICIONALES | FULL DAY UROS TAQUILE SIC SPEED BOAT 30KM + ALMUERZO + GUIA PRIVADO 2PAX ADT_E(2)  = 187.62  09-May-26 | PUN | OPERADOR TRADICIONALES | TRASLADO HTL GHL LAGO TITICACA - EST. TREN PUNO 2PAX ADT_E(2)  = 23.90  </t>
  </si>
  <si>
    <t>260500005</t>
  </si>
  <si>
    <t>ANTICIPOS</t>
  </si>
  <si>
    <t>CALLAÑAUPA DE HENDRICKSON FLORA</t>
  </si>
  <si>
    <t>010021398</t>
  </si>
  <si>
    <t xml:space="preserve">13-May-26 | VAL | TALLERES Y WORKSHOPS | 008631 - FLORA: CHINCHERO WEAVING WORKSHOP PVT 2PAX ADT_E(2)  = 65.00  </t>
  </si>
  <si>
    <t>010021351</t>
  </si>
  <si>
    <t xml:space="preserve">10-May-26 | CUZ | TALLERES Y WORKSHOPS | FLORA: CHINCHERO WEAVING WORKSHOP 2PAX ADT_E(2)  = 130.00  </t>
  </si>
  <si>
    <t>260500003</t>
  </si>
  <si>
    <t>010021468</t>
  </si>
  <si>
    <t>10-May-26 | CUZ | TRANSPORTE TURISTICO | 002058 - TRF APT O EST. BUS/TREN - HTL CUS OW O V.V MALETERO INC. 2PAX ADT_E(2)  = 12.00  10-May-26 | CUZ | TRANSPORTE TURISTICO | 2 BOTELLA DE FONTEVITA 350 ML ENVASE DE VIDRIO 2PAX ADT_E(2)  = 3.00  11-May-26 | C</t>
  </si>
  <si>
    <t>260500009</t>
  </si>
  <si>
    <t>010021738</t>
  </si>
  <si>
    <t>03-May-26 | CUZ | OPERADOR TRADICIONALES | 008955 - SERVICIO DE OPERACION POR DIA 13PAX ADT_E(13)  = 35.00  04-May-26 | CUZ | OPERADOR TRADICIONALES | 008955 - SERVICIO DE OPERACION POR DIA 13PAX ADT_E(13)  = 35.00  05-May-26 | CUZ | OPERADOR TRADICIONALE</t>
  </si>
  <si>
    <t>PERUVIAN CULTURE TRAVEL</t>
  </si>
  <si>
    <t>260500012</t>
  </si>
  <si>
    <t>010021739</t>
  </si>
  <si>
    <t xml:space="preserve">05-May-26 | CUZ | OPERADOR TRADICIONALES | 008955 - SERVICIO DE OPERACION POR DIA 2PAX ADT_E(2)  = 35.00  06-May-26 | CUZ | OPERADOR TRADICIONALES | SERVICIO DE OPERACION POR DIA 2PAX ADT_E(2)  = 35.00  07-May-26 | CUZ | OPERADOR TRADICIONALES | 008955 - </t>
  </si>
  <si>
    <t>010021449</t>
  </si>
  <si>
    <t>16-May-26 | PUN | TRANSPORTE TURISTICO | TRASLADO EST. BUS TREN PUNO- HTL SONASTA POSADA DEL INCA 2PAX ADT_E(2)  = 23.90  17-May-26 | PUN | OPERADOR TRADICIONALES | HTL SONESTA PUNO - FD UROS TAQUILE SPEED BOAT SIC + ALMUERZO + PVT GUIDE-  HTL SONESTA PUN</t>
  </si>
  <si>
    <t>010020921</t>
  </si>
  <si>
    <t>09-May-26 | CUZ | OPERADOR TRADICIONALES | SERVICIO DE OPERACIÓN HALF DAY 2PAX ADT_E(2)  = 17.50  10-May-26 | CUZ | OPERADOR TRADICIONALES | SERVICIO DE OPERACION POR DIA 2PAX ADT_E(2)  = 35.00  11-May-26 | CUZ | OPERADOR TRADICIONALES | SERVICIO DE OPERA</t>
  </si>
  <si>
    <t>010021402</t>
  </si>
  <si>
    <t>12-May-26 | CUZ | OPERADOR TRADICIONALES | SERVICIO DE OPERACION POR DIA 2PAX ADT_E(2)  = 35.00  13-May-26 | CUZ | OPERADOR TRADICIONALES | SERVICIO DE OPERACION POR DIA 2PAX ADT_E(2)  = 35.00  14-May-26 | CUZ | OPERADOR TRADICIONALES | SERVICIO DE OPERAC</t>
  </si>
  <si>
    <t>260500011</t>
  </si>
  <si>
    <t>010022014</t>
  </si>
  <si>
    <t xml:space="preserve">07-May-26 | CUZ | OPERADOR TRADICIONALES | 008955 - SERVICIO DE OPERACION POR DIA 3PAX ADT_E(3)  = 35.00  08-May-26 | CUZ | OPERADOR TRADICIONALES | 008955 - SERVICIO DE OPERACION POR DIA 3PAX ADT_E(3)  = 35.00  09-May-26 | CUZ | OPERADOR TRADICIONALES | </t>
  </si>
  <si>
    <t>010022091</t>
  </si>
  <si>
    <t xml:space="preserve">07-May-26 | CUZ | OPERADOR TRADICIONALES | mpresión de tarjetas y carteles 3A  FILE 260500009 - GRP. SPIRITUAL X13 13PAX ADT_E(13)  = 41.40  </t>
  </si>
  <si>
    <t>260500015</t>
  </si>
  <si>
    <t>010021816</t>
  </si>
  <si>
    <t>17-May-26 | LIM | TRANSPORTE TURISTICO | TRF AV. LATINO AMERICA 481, VILLA MARIA DEL TRIUNFO - HTL WESTIN LIMA HOTEL 1PAX ADT_E(1)  = 30.68  18-May-26 | LIM | TRANSPORTE TURISTICO | TRF REST MANTRA - AV. LATINO AMERICA 481, VILLA MARIA DEL TRIUNFO 1PAX AD</t>
  </si>
  <si>
    <t>010021868</t>
  </si>
  <si>
    <t>10-May-26 | CUZ | OPERADOR TRADICIONALES | 010090 - SERVICIO DE OPERACIÓN HALF DAY 2PAX ADT_E(2)  = 35.00  11-May-26 | CUZ | OPERADOR TRADICIONALES | 008955 - SERVICIO DE OPERACION POR DIA 2PAX ADT_E(2)  = 35.00  12-May-26 | CUZ | OPERADOR TRADICIONALES |</t>
  </si>
  <si>
    <t>010022135</t>
  </si>
  <si>
    <t xml:space="preserve">12-May-26 | PUN | TRANSPORTE TURISTICO | TRF HTL TITILAKA - APTO VUELO LA 2210 SALIDA 09:40 2PAX ADT_E(2)  = 182.30  </t>
  </si>
  <si>
    <t>010022151</t>
  </si>
  <si>
    <t xml:space="preserve">14-May-26 | PUN | OPERADOR TRADICIONALES | TRF PUNO - CUSCO ONLY DRIVER - SUV INC. SNACKS 2PAX ADT_E(2)  = 457.00  </t>
  </si>
  <si>
    <t>010021675</t>
  </si>
  <si>
    <t>19-May-26 | CUZ | OPERADOR TRADICIONALES | SERVICIO DE OPERACION POR DIA 5PAX ADT_E(5)  = 35.00  20-May-26 | CUZ | OPERADOR TRADICIONALES | SERVICIO DE OPERACION POR DIA 5PAX ADT_E(5)  = 35.00  21-May-26 | CUZ | OPERADOR TRADICIONALES | SERVICIO DE OPERAC</t>
  </si>
  <si>
    <t>010022093</t>
  </si>
  <si>
    <t xml:space="preserve">07-May-26 | CUZ | OPERADOR TRADICIONALES | 3 chocolates 260500011 3PAX ADT_E(3)  = 33.60  </t>
  </si>
  <si>
    <t>010022101</t>
  </si>
  <si>
    <t xml:space="preserve">01-May-26 | CUZ | OPERADOR TRADICIONALES | 008955 - SERVICIO DE OPERACION POR DIA 1PAX ADT_E(1)  = 35.00  </t>
  </si>
  <si>
    <t>010022102</t>
  </si>
  <si>
    <t xml:space="preserve">03-May-26 | CUZ | OPERADOR TRADICIONALES | 008955 - SERVICIO DE OPERACION POR DIA 7PAX ADT_E(7)  = 35.00  11-May-26 | CUZ | OPERADOR TRADICIONALES | 008955 - SERVICIO DE OPERACION POR DIA 7PAX ADT_E(7)  = 35.00  </t>
  </si>
  <si>
    <t>RONALD SARMIENTO TRASLADISTA ADICIONAR VIATICOS</t>
  </si>
  <si>
    <t>010022218</t>
  </si>
  <si>
    <t xml:space="preserve">08-May-26 | LIM | TRASLADISTA | ASISTENCIA APTO IB7232 - HTL AC MIRAFLORES 2PAX ADT_E(2)  = 0.00  10-May-26 | LIM | TRASLADISTA | TRASLADO HOTEL AC MIRAFLORES - APTO VUELO LA2015 2PAX ADT_E(2)  = 9.00  </t>
  </si>
  <si>
    <t>010022219</t>
  </si>
  <si>
    <t xml:space="preserve">10-May-26 | LIM | TRASLADISTA | TRASLADO APTO VUELO BA4984 - HTL CASA ANDINA SELECT MIRAFLORES 2PAX ADT_E(2)  = 24.00  12-May-26 | LIM | TRASLADISTA | TRASLADO HTL CASA ANDINA SELECT MIRAFLORES - APTO VUELO LA2266 2PAX ADT_E(2)  = 0.00  18-May-26 | LIM | </t>
  </si>
  <si>
    <t>010021871</t>
  </si>
  <si>
    <t xml:space="preserve">13-May-26 | LIM | TRANSPORTE TURISTICO | MALETERO EXTRA: APTO - HTL WESTIN LLEGAN EN VUELO KL0743 5PAX ADT_E(5)  = 25.96  19-May-26 | LIM | TRANSPORTE TURISTICO | MALETERO TRF JW MARRIOT LIMA - APTO | LA2292 SALE 06:30 5PAX ADT_E(5)  = 25.96  23-May-26 | </t>
  </si>
  <si>
    <t>260500010</t>
  </si>
  <si>
    <t>010022139</t>
  </si>
  <si>
    <t>12-May-26 | LIM | TRANSPORTE TURISTICO | TRF APTO VUELO LA 2210 /8HRS A DISPOSICION/RETORNO APTO VUELO DE SALIDA AA 918 LIMA - MIAMI 2PAX ADT_E(2)  = 30.68  12-May-26 | LIM | TRANSPORTE TURISTICO | 005497 - TRANSPORTE A DISPOSICION POR 7 HRS 2PAX ADT_E(2)</t>
  </si>
  <si>
    <t>010022140</t>
  </si>
  <si>
    <t>010022174</t>
  </si>
  <si>
    <t xml:space="preserve">18-May-26 | LIM | TRANSPORTE TURISTICO | TRF EN SUV APTO - HTL JW MARRIOT LIMA | ARRIBA EN KL 743 A LAS 15:25 1PAX ADT_E(1)  = 30.68  18-May-26 | LIM | TRANSPORTE TURISTICO | TRF SUV HTL JW MARRIOT - RESTAURANTE MANTRA 1PAX ADT_E(1)  = 23.60  </t>
  </si>
  <si>
    <t>010022175</t>
  </si>
  <si>
    <t>010022176</t>
  </si>
  <si>
    <t xml:space="preserve">24-May-26 | LIM | TRANSPORTE TURISTICO | 2 HORAS ADICIONALES 1PAX ADT_E(1)  = 23.60  </t>
  </si>
  <si>
    <t>010022177</t>
  </si>
  <si>
    <t>010022082</t>
  </si>
  <si>
    <t xml:space="preserve">15-May-26 | CUZ | OPERADOR TRADICIONALES | 008955 - SERVICIO DE OPERACION POR DIA 2PAX ADT_E(2)  = 35.00  16-May-26 | CUZ | OPERADOR TRADICIONALES | 008955 - SERVICIO DE OPERACION POR DIA 2PAX ADT_E(2)  = 35.00  17-May-26 | CUZ | OPERADOR TRADICIONALES | </t>
  </si>
  <si>
    <t>260500014</t>
  </si>
  <si>
    <t>010021615</t>
  </si>
  <si>
    <t>29-May-26 | LIM | TRASLADISTA | TRF APTO VUELO LA 2210/ HOTEL VILLA BARRANCO 2PAX ADT_E(2)  = 21.00  30-May-26 | LIM | TRASLADISTA | TRF Villa Barranco By Ananay/APTO VUELO LA 2019 2PAX ADT_E(2)  = 21.00  02-Jun-26 | LIM | TRASLADISTA | TRANSFER APTO/HOTE</t>
  </si>
  <si>
    <t>010021794</t>
  </si>
  <si>
    <t>24-May-26 | PUN | TRANSPORTE TURISTICO | TRF EST TREN - HTL GHL LAGO TITICACA  O V.V W/GUIDE 2PAX ADT_E(2)  = 23.90  25-May-26 | PUN | OPERADOR TRADICIONALES | ARCOBALENO: 2D/1N UROS AMANTANI Y TAQUILE PVT W/OVERNIGHT LANCHA NORMAL 2PAX ADT_E(2)  = 427.26</t>
  </si>
  <si>
    <t>260600001</t>
  </si>
  <si>
    <t>FENIX TOURS EIRL</t>
  </si>
  <si>
    <t>010022248</t>
  </si>
  <si>
    <t xml:space="preserve">13-May-26 | PUN | TRANSPORTE TURISTICO | ASISTENCIA  EST. TREN  - HTL CASA ANDINA PREMIUM PUNO 2PAX ADT_E(2)  = 23.90  14-May-26 | PUN | OPERADOR TRADICIONALES | ARCOBALENO: FD UROS TAQUILE SPEED BOAT SIC + ALMUERZO + PVT GUIDE 2PAX ADT_E(2)  = 187.62  </t>
  </si>
  <si>
    <t>260500002</t>
  </si>
  <si>
    <t>010021208</t>
  </si>
  <si>
    <t xml:space="preserve">01-Jun-26 | VAL | TALLERES Y WORKSHOPS | FLORA: CHINCHERO WEAVING WORKSHOP PVT 2PAX ADT_E(2)  = 65.00  </t>
  </si>
  <si>
    <t>RIGAL LIMOUSINE PERU</t>
  </si>
  <si>
    <t>010022216</t>
  </si>
  <si>
    <t xml:space="preserve">13-May-26 | LIM | TRANSPORTE LUJO | TRF APTO - HTL WESTIN (UNIDAD SOLATI) | LLEGAN EN VUELO KL0743 5PAX ADT_E(5)  = 110.69  17-May-26 | LIM | TRANSPORTE LUJO | HTL WESTIN - TAMBO DE TACAMA - HTL PARACAS LUXURY - GLAMPING PARACAS - HTL PARACAS LUXURY 5PAX </t>
  </si>
  <si>
    <t>260600017</t>
  </si>
  <si>
    <t>010022571</t>
  </si>
  <si>
    <t>07-Jun-26 | LIM | TRANSPORTE TURISTICO | 005496 - TRF APTO VUELO  AF500 - HTL RADISSON DECAPOLIS MALETERO INC. 2PAX ADT_E(2)  = 33.04  08-Jun-26 | LIM | TRANSPORTE TURISTICO | 008809 - TRF HTL RADISSON DECAPOLIS - BARRANCO - UKAW - CALA - HUACA PUCLLANA -</t>
  </si>
  <si>
    <t>010021617</t>
  </si>
  <si>
    <t xml:space="preserve">24-May-26 | CUZ | OPERADOR TRADICIONALES | 008955 - SERVICIO DE OPERACION POR DIA 2PAX ADT_E(2)  = 35.00  25-May-26 | CUZ | OPERADOR TRADICIONALES | 008955 - SERVICIO DE OPERACION POR DIA 2PAX ADT_E(2)  = 35.00  26-May-26 | CUZ | OPERADOR TRADICIONALES | </t>
  </si>
  <si>
    <t>010022130</t>
  </si>
  <si>
    <t xml:space="preserve">24-May-26 | CUZ | OPERADOR TRADICIONALES | HTL HACIENDA CUSCO PLAZA/HTL PALACIO MANCO CAPAC (TRASLADO CON MALETAS) 2PAX ADT_E(2)  = 10.00  </t>
  </si>
  <si>
    <t>010021918</t>
  </si>
  <si>
    <t xml:space="preserve">28-May-26 | PUN | OPERADOR TRADICIONALES | ARCOBALENO: FD UROS TAQUILE SPEED BOAT SIC + ALMUERZO + PVT GUIDE 2PAX ADT_E(2)  = 187.62  29-May-26 | PUN | TRANSPORTE TURISTICO | KAYPACHA: APTO VUELO LA2210 SALIDA 09:40/GUIDE 2PAX ADT_E(2)  = 93.58  </t>
  </si>
  <si>
    <t>30-May-26 | CUZ | TRANSPORTE TURISTICO | TFR APTO VUELO LA2266- HTL SOL Y LUNA LODGE SPA, VALLE 2PAX ADT_E(2)  = 75.00  30-May-26 | CUZ | TRANSPORTE TURISTICO | 02 BOTELLA DE FONTEVITA 350 ML ENVASE DE VIDRIO 2PAX ADT_E(2)  = 3.00  31-May-26 | VAL | TRANS</t>
  </si>
  <si>
    <t>010021548</t>
  </si>
  <si>
    <t>30-May-26 | CUZ | OPERADOR TRADICIONALES | SERVICIO DE OPERACION POR DIA 2PAX ADT_E(2)  = 35.00  31-May-26 | CUZ | OPERADOR TRADICIONALES | SERVICIO DE OPERACION POR DIA 2PAX ADT_E(2)  = 35.00  01-Jun-26 | CUZ | OPERADOR TRADICIONALES | SERVICIO DE OPERAC</t>
  </si>
  <si>
    <t>260500016</t>
  </si>
  <si>
    <t>010021903</t>
  </si>
  <si>
    <t xml:space="preserve">26-May-26 | CUZ | OPERADOR TRADICIONALES | 008955 - SERVICIO DE OPERACION POR DIA 2PAX ADT_E(2)  = 35.00  27-May-26 | CUZ | OPERADOR TRADICIONALES | 008955 - SERVICIO DE OPERACION POR DIA 2PAX ADT_E(2)  = 35.00  29-May-26 | CUZ | OPERADOR TRADICIONALES | </t>
  </si>
  <si>
    <t>260500013</t>
  </si>
  <si>
    <t>010021983</t>
  </si>
  <si>
    <t xml:space="preserve">26-May-26 | CUZ | OPERADOR TRADICIONALES | 008955 - SERVICIO DE OPERACION POR DIA 2PAX ADT_E(2)  = 35.00  29-May-26 | CUZ | OPERADOR TRADICIONALES | 008955 - SERVICIO DE OPERACION POR DIA 2PAX ADT_E(2)  = 35.00  30-May-26 | CUZ | OPERADOR TRADICIONALES | </t>
  </si>
  <si>
    <t>010021765</t>
  </si>
  <si>
    <t xml:space="preserve">28-May-26 | PUN | OPERADOR TRADICIONALES | 005019 - 3D/2N PUN - COL - AQP PVT - HTL IN/OUT CHIVAY INC. BTC 2PAX ADT_E(2)  = 1028.00  29-May-26 | PUN | OPERADOR TRADICIONALES | 005019 - 3D/2N PUN - COL - AQP PVT - HTL IN/OUT CHIVAY INC. BTC 2PAX ADT_E(2)  </t>
  </si>
  <si>
    <t>010021899</t>
  </si>
  <si>
    <t xml:space="preserve">10-Jun-26 | LIM | TRANSPORTE TURISTICO | Traslado Apto - Hotel Girasoles Vuelo TS150 4PAX ADT_E(4)  = 35.40  12-Jun-26 | LIM | TRANSPORTE TURISTICO | Traslado Hotel Girasoles / Apto Lima Vuelo LA2007 4PAX ADT_E(4)  = 35.40  </t>
  </si>
  <si>
    <t>XTREME TOURBULENCIA</t>
  </si>
  <si>
    <t>010022160</t>
  </si>
  <si>
    <t>14-Jun-26 | CUZ | OPERADOR AVENTURA | XTREME: LARES TREK 4D/ PVT 4PAX ADT_E(4)  = 2010.72  15-Jun-26 | CUZ | OPERADOR AVENTURA | XTREME: LARES TREK 4D/ PVT 4PAX ADT_E(4)  = 0.00  16-Jun-26 | CUZ | OPERADOR AVENTURA | XTREME: LARES TREK 4D/ PVT 4PAX ADT_E(</t>
  </si>
  <si>
    <t>010022161</t>
  </si>
  <si>
    <t>260600003</t>
  </si>
  <si>
    <t>010022257</t>
  </si>
  <si>
    <t xml:space="preserve">16-Jun-26 | LIM | TRANSPORTE TURISTICO | TRF APTO VUELO BA7232- HTL CASA REPUBLICA BARRANCO 2PAX ADT_E(2)  = 33.04  18-Jun-26 | LIM | TRANSPORTE TURISTICO | BARRANCO-UKAW-MERCADO SURQUILLO-HUACA PUCCLLANA-REST-HTL -8HRS 2PAX ADT_E(2)  = 141.60  19-Jun-26 </t>
  </si>
  <si>
    <t>010022549</t>
  </si>
  <si>
    <t xml:space="preserve">19-May-26 | LIM | TRASLADISTA | VIATICO DE ALIMENTACIÓN 2PAX ADT_E(2)  = 12.50  21-May-26 | LIM | TRASLADISTA | 004995 - VIATICO DE ALIMENTACIÓN 2PAX ADT_E(2)  = 12.50  </t>
  </si>
  <si>
    <t>260600002</t>
  </si>
  <si>
    <t>ANCAYPURO TORRES YESICA</t>
  </si>
  <si>
    <t>010022555</t>
  </si>
  <si>
    <t xml:space="preserve">19-Jun-26 | CUZ | OPERADOR TRADICIONALES | RECOJO DE SOUVENIR TUCANO A OLVA CURRIER 6PAX ADT_E(6)  = 20.00  </t>
  </si>
  <si>
    <t>ANDY HANCO ESP. AVES</t>
  </si>
  <si>
    <t>010022246</t>
  </si>
  <si>
    <t>11-Jun-26 | CUZ | GUIA | 010540 - GUIADO POR 5 HRS - APTO VUELO LA2359 - ALQA - OLLANTA -  HTL MOUNTAIN VIEW 2PAX ADT_E(2)  = 75.00  12-Jun-26 | CUZ | GUIA | 001983 - GUIADO POR 8 HRS - CHINCHEROS MARAS Y MORAY 2PAX ADT_E(2)  = 75.00  14-Jun-26 | CUZ | GU</t>
  </si>
  <si>
    <t>260700009</t>
  </si>
  <si>
    <t>CAMPING TOURS</t>
  </si>
  <si>
    <t>010021263</t>
  </si>
  <si>
    <t>20-Jul-26 | VAL | OPERADOR AVENTURA | 010531 - CAMPING: INCA TRAIL 2D/1N VISTADOME - PVT W/TRASFER+GUIDE 4PAX ADT_E(4)  = 2793.06  21-Jul-26 | VAL | OPERADOR AVENTURA | 010531 - CAMPING: INCA TRAIL 2D/1N VISTADOME - PVT W/TRASFER+GUIDE 4PAX ADT_E(4)  = 0.</t>
  </si>
  <si>
    <t>JYR</t>
  </si>
  <si>
    <t>010022516</t>
  </si>
  <si>
    <t>16-Jun-26 | LIM | TRANSPORTE SUPERIOR | Traslado Apto / Hotel Ac Miraflores Vuelo LA2415 6PAX ADT_E(6)  = 53.10  17-Jun-26 | LIM | TRANSPORTE SUPERIOR | TRF FD PISCO (SOBREVUELO LINEAS DE NAZCA) INC. VIATICO DRIVER 6PAX ADT_E(6)  = 354.00  18-Jun-26 | LIM</t>
  </si>
  <si>
    <t>010022255</t>
  </si>
  <si>
    <t xml:space="preserve">11-Jun-26 | CUZ | OPERADOR TRADICIONALES | 008955 - SERVICIO DE OPERACION POR DIA 2PAX ADT_E(2)  = 35.00  12-Jun-26 | CUZ | OPERADOR TRADICIONALES | 008955 - SERVICIO DE OPERACION POR DIA 2PAX ADT_E(2)  = 35.00  13-Jun-26 | CUZ | OPERADOR TRADICIONALES | </t>
  </si>
  <si>
    <t>010021556</t>
  </si>
  <si>
    <t>06-Jun-26 | AQP | OPERADOR TRADICIONALES | TRF IN LA2328 + CITY TOUR + MONASTERIO CONVENCIONAL Y TRF A COLCA (3D/2N AQP - CCA - PUNO) 2PAX ADT_E(2)  = 1131.80  07-Jun-26 | AQP | OPERADOR TRADICIONALES | 3D/2N AQP - COL- PUN PVT - HTL IN/OUT CHIVAY INC. BT</t>
  </si>
  <si>
    <t>010022570</t>
  </si>
  <si>
    <t>010022591</t>
  </si>
  <si>
    <t xml:space="preserve">28-May-26 | LIM | TRANSPORTE TURISTICO | TIEMPO ADICIONAL 2PAX ADT_E(2)  = 5.90  </t>
  </si>
  <si>
    <t>010022592</t>
  </si>
  <si>
    <t>010022444</t>
  </si>
  <si>
    <t xml:space="preserve">23-Jun-26 | MAP | GUIA | GUIA MACHU PICCHU 3HRS - CON TRF IN + OUT CIRCUITO 2A- TREN VTD 31 2PAX ADT_E(2)  = 80.00  24-Jun-26 | MAP | GUIA | TOUR GUIADO CIRCUITO 1 A 09:00AM -4HRS TRF IN+ TRF OUT VTD OBS 34 2PAX ADT_E(2)  = 120.00  </t>
  </si>
  <si>
    <t>010021925</t>
  </si>
  <si>
    <t xml:space="preserve">19-Jun-26 | CUZ | OPERADOR TRADICIONALES | 008955 - SERVICIO DE OPERACION POR DIA 6PAX ADT_E(6)  = 35.00  20-Jun-26 | CUZ | OPERADOR TRADICIONALES | 008955 - SERVICIO DE OPERACION POR DIA 6PAX ADT_E(6)  = 35.00  21-Jun-26 | CUZ | OPERADOR TRADICIONALES | </t>
  </si>
  <si>
    <t>010022308</t>
  </si>
  <si>
    <t xml:space="preserve">12-Jun-26 | CUZ | OPERADOR TRADICIONALES | 008955 - SERVICIO DE OPERACION POR DIA 4PAX ADT_E(4)  = 35.00  13-Jun-26 | CUZ | OPERADOR TRADICIONALES | 008955 - SERVICIO DE OPERACION POR DIA 4PAX ADT_E(4)  = 35.00  14-Jun-26 | CUZ | OPERADOR TRADICIONALES | </t>
  </si>
  <si>
    <t>260700012</t>
  </si>
  <si>
    <t>ALBERGUE OLLANTAYTAMBO</t>
  </si>
  <si>
    <t>010022858</t>
  </si>
  <si>
    <t xml:space="preserve">30-Jul-26 | VAL | PACHAMANCA | LUNCH PACHAMANCA ALBERGUE OLLANTAYTAMBO 19PAX ADT_E(19)  = 764.00  </t>
  </si>
  <si>
    <t>260700005</t>
  </si>
  <si>
    <t>010022278</t>
  </si>
  <si>
    <t xml:space="preserve">07-Jul-26 | CUZ | TALLERES Y WORKSHOPS | 008631 - FLORA: CHINCHERO WEAVING WORKSHOP PVT 3PAX ADT_E(3)  = 65.00  </t>
  </si>
  <si>
    <t>260700006</t>
  </si>
  <si>
    <t>010022620</t>
  </si>
  <si>
    <t xml:space="preserve">03-Jul-26 | CUZ | OPERADOR TRADICIONALES | ENTREGA DE BOLETOS DE BUS 24PAX ADT_E(24)  = 20.00  </t>
  </si>
  <si>
    <t>260700018</t>
  </si>
  <si>
    <t>010022198</t>
  </si>
  <si>
    <t>30-Jun-26 | MAP | GUIA | 004197 - ASISTENCIA IN 2PAX ADT_E(2)  = 7.00  30-Jun-26 | MAP | GUIA | GUIADO MACHU PICCHU 3HRS - CON TRF IN + OUT - RUTA 1B 2PAX ADT_E(2)  = 80.00  01-Jul-26 | MAP | GUIA | 004200 - GUIADO ENTRADA 1A MACHU PICCHU - 5HRS 2PAX ADT_</t>
  </si>
  <si>
    <t>010022417</t>
  </si>
  <si>
    <t>21-Jun-26 | CUZ | TRANSPORTE TURISTICO | TRF APT VUELO LA2359/HTL PALACIO DEL INCA LUXURY 2PAX ADT_E(2)  = 12.00  22-Jun-26 | CUZ | TRANSPORTE TURISTICO | CITY TOUR SACSAYHUAMAN+ KORICANCHA + CATEDRAL +SAN BLAS  4HRS 2PAX ADT_E(2)  = 45.00  23-Jun-26 | CU</t>
  </si>
  <si>
    <t>010022309</t>
  </si>
  <si>
    <t xml:space="preserve">21-Jun-26 | CUZ | OPERADOR TRADICIONALES | 008955 - SERVICIO DE OPERACION POR DIA 2PAX ADT_E(2)  = 35.00  22-Jun-26 | CUZ | OPERADOR TRADICIONALES | 008955 - SERVICIO DE OPERACION POR DIA 2PAX ADT_E(2)  = 35.00  23-Jun-26 | CUZ | OPERADOR TRADICIONALES | </t>
  </si>
  <si>
    <t>FERNANDO MENDOZA PILARES</t>
  </si>
  <si>
    <t>260700008</t>
  </si>
  <si>
    <t>010022487</t>
  </si>
  <si>
    <t xml:space="preserve">03-Ago-26 | CUZ | OPERADOR AVENTURA | 010512 - CAMPING: HTL CUS - FD VINICUNCA - HTL CUS SIC 2PAX ADT_E(2)  = 94.40  </t>
  </si>
  <si>
    <t>GO2INKAS S.A.C - NO INC. LUNCH</t>
  </si>
  <si>
    <t>010022344</t>
  </si>
  <si>
    <t xml:space="preserve">19-Jul-26 | VAL | OPERADOR AVENTURA | 010316 - GO2INKAS: FD BIKING MARAS - MORAY DISCOVERY - 7 HRS 4PAX ADT_E(4)  = 657.68  </t>
  </si>
  <si>
    <t>260700011</t>
  </si>
  <si>
    <t>INDIO FELIZ</t>
  </si>
  <si>
    <t>010022721</t>
  </si>
  <si>
    <t xml:space="preserve">12-Jul-26 | MAP | RESTAURANTES | 004613 - INDIO FELIZ: ALMUERZO A A LA CARTA 2PAX ADT_E(2)  = 60.00  </t>
  </si>
  <si>
    <t>010022290</t>
  </si>
  <si>
    <t xml:space="preserve">08-Jul-26 | MAP | GUIA | GUIA MACHU PICCHU CIRCUITO 2 A 3HRS - CON TRF IN VTD31 + OUT VTD32 3PAX ADT_E(3)  = 80.00  </t>
  </si>
  <si>
    <t>010022032</t>
  </si>
  <si>
    <t xml:space="preserve">10-Jul-26 | CUZ | OPERADOR AVENTURA | 010512 - CAMPING: HTL CUS - FD VINICUNCA - HTL CUS SIC 2PAX ADT_E(2)  = 94.40  </t>
  </si>
  <si>
    <t>260700017</t>
  </si>
  <si>
    <t>010022631</t>
  </si>
  <si>
    <t xml:space="preserve">18-Jul-26 | VAL | OPERADOR AVENTURA | 010316 - GO2INKAS: FD BIKING MARAS - MORAY DISCOVERY - 7 HRS MERCANICO 3PAX ADT_E(3)  = 467.56  </t>
  </si>
  <si>
    <t>260700014</t>
  </si>
  <si>
    <t>010022665</t>
  </si>
  <si>
    <t xml:space="preserve">05-Jul-26 | CUZ | GUIA ENG - ESP | 001983 - GUIADO POR 8 HRS - PONGOBAMBA - MORAY - MARAS 2PAX ADT_E(2)  = 75.00  05-Jul-26 | CUZ | GUIA ENG - ESP | 001988 - VIATICOS DE MOVILIDAD CUS - HTL VALLE RIO SAGRADO 2PAX ADT_E(2)  = 15.00  </t>
  </si>
  <si>
    <t>010022286</t>
  </si>
  <si>
    <t xml:space="preserve">10-Jul-26 | CUZ | OPERADOR AVENTURA | 010512 - CAMPING: HTL CUS - FD VINICUNCA - HTL CUS SIC 3PAX ADT_E(3)  = 141.60  </t>
  </si>
  <si>
    <t>010022598</t>
  </si>
  <si>
    <t>26-Jun-26 | CUZ | TRANSPORTE TURISTICO | 002058 - TRF APTO CUSCO VUELO AR8342 - HTL PALACIO NAZARENAS BELMOND 2PAX ADT_E(2)  = 12.00  26-Jun-26 | CUZ | TRANSPORTE TURISTICO | 008389 - BOTELLA DE FONTEVITA 350 ML ENVASE DE VIDRIO 2PAX ADT_E(2)  = 3.00  30-</t>
  </si>
  <si>
    <t>010022671</t>
  </si>
  <si>
    <t>07-Jul-26 | MAP | GUIA ENG - ESP | 004197 - ASISTENCIA IN 2PAX ADT_E(2)  = 7.00  07-Jul-26 | MAP | GUIA ENG - ESP | 004196 - GUIA MACHU PICCHU 3HRS - CON TRF IN + OUT CIRCUITO 2 2PAX ADT_E(2)  = 80.00  08-Jul-26 | MAP | GUIA ENG - ESP | 004197 - ASISTENCI</t>
  </si>
  <si>
    <t>010022526</t>
  </si>
  <si>
    <t xml:space="preserve">26-Jun-26 | CUZ | OPERADOR TRADICIONALES | 008955 - SERVICIO DE OPERACION POR DIA 2PAX ADT_E(2)  = 35.00  30-Jun-26 | CUZ | OPERADOR TRADICIONALES | 008955 - SERVICIO DE OPERACION POR DIA 2PAX ADT_E(2)  = 35.00  01-Jul-26 | CUZ | OPERADOR TRADICIONALES | </t>
  </si>
  <si>
    <t>010022524</t>
  </si>
  <si>
    <t>03-Jul-26 | LIM | TRASLADISTA | TRASLADO  DE NOCHE APTO VUELO LA222 ARRIVAL 01:35 - HTL BELMOND MIRAFLORES PARK 2PAX ADT_E(2)  = 23.00  03-Jul-26 | LIM | TRASLADISTA | 002369 - VIATICOS DE MOVILIDAD APTO LIMA - CASA 2PAX ADT_E(2)  = 10.00  06-Jul-26 | LIM</t>
  </si>
  <si>
    <t>VILCAS HANCCO ADRIEL</t>
  </si>
  <si>
    <t>010022457</t>
  </si>
  <si>
    <t>11-Jul-26 | CUZ | GUIA | FULL DAY PISAC, CUCHARA DE PALO REST &amp; OLLANTAYTAMBO-SONESTA POSADA DEL INCA YUCAY 2PAX ADT_E(2)  = 75.00  11-Jul-26 | CUZ | GUIA | 001988 - VIATICOS DE MOVILIDAD CUS - HTL VALLE OW O V.V. 2PAX ADT_E(2)  = 15.00  13-Jul-26 | CUZ |</t>
  </si>
  <si>
    <t>010022458</t>
  </si>
  <si>
    <t xml:space="preserve">12-Jul-26 | MAP | GUIA | GUIA MACHU PICCHU 3HRS CIRCUITO 2B 12:00PM - CON TRF IN VTD 31 2PAX ADT_E(2)  = 80.00  </t>
  </si>
  <si>
    <t>260700003</t>
  </si>
  <si>
    <t>HOUSE TOURS</t>
  </si>
  <si>
    <t>010022856</t>
  </si>
  <si>
    <t xml:space="preserve">12-Jul-26 | CUZ | TRANSPORTE SUPERIOR | 010187 - TRF APTO VUELO LA2238 - HTL ANDENIA VALLE . MALETERO INC. 5PAX ADT_E(5)  = 100.00  12-Jul-26 | CUZ | TRANSPORTE SUPERIOR | 2 POR PAX BOTELLA DE AGUA FONTEVITA 350 ML ENVASE DE VIDRIO 5PAX ADT_E(5)  = 5.00  </t>
  </si>
  <si>
    <t>TRASLADISTA GONZALES ACHAHUI HENRY</t>
  </si>
  <si>
    <t>010022301</t>
  </si>
  <si>
    <t>10-Jul-26 | CUZ | TRASLADISTA | TRF APTO /HTL SONESTA POSADA YUCAY VALLE VUELO LA2130 2PAX ADT_E(2)  = 25.00  10-Jul-26 | CUZ | TRASLADISTA | 009955 - VIATICOS MOVILIDAD CUS - VALLE OW O V.V 2PAX ADT_E(2)  = 5.00  12-Jul-26 | VAL | TRASLADISTA | TRF HTL S</t>
  </si>
  <si>
    <t>GODEFROY GOICOCHEA JULIETTE DESIREE</t>
  </si>
  <si>
    <t>010022765</t>
  </si>
  <si>
    <t xml:space="preserve">17-Jul-26 | LIM | RESTAURANTES | 004256 - CALA: MENU GUIA 2PAX ADT_E(2)  = 74.50  17-Jul-26 | LIM | RESTAURANTES | 004661 - CALA: ALMUERZO O CENA A LA CARTA 2PAX ADT_E(2)  = 454.00  </t>
  </si>
  <si>
    <t>010022734</t>
  </si>
  <si>
    <t>04-Jul-26 | CUZ | TRASLADISTA | TRF APTO VUELO LA2166 /HTL CASA ANDINA STANDARD CUSCO PLAZA 3PAX ADT_E(3)  = 12.00  06-Jul-26 | VAL | TRASLADISTA | PUENTE URUBAMBA/ HTL IORANA URUBAMBA 3PAX ADT_E(3)  = 25.00  06-Jul-26 | CUZ | TRASLADISTA | 009883 - VIATI</t>
  </si>
  <si>
    <t>BERROSPI OBREGU Evelyn Rosemarie</t>
  </si>
  <si>
    <t>010022776</t>
  </si>
  <si>
    <t xml:space="preserve">19-Jun-26 | LIM | TRASLADISTA | TRASLADO HTL AC MIRAFLORES / APTO VUELO LA2077 6PAX ADT_E(6)  = 23.00  26-Jun-26 | LIM | TRASLADISTA | TRF AC MIRAFLORES/APTO VUELO IB 126 (2 PAX) MR CHAO KUANG 6PAX ADT_E(6)  = 23.00  </t>
  </si>
  <si>
    <t>010022149</t>
  </si>
  <si>
    <t xml:space="preserve">13-Jun-26 | VAL | OPERADOR AVENTURA | 010314 - CAMPING: FD VINICUNCA INC. CABALLO OW - RUTA CUSIPATA PVT 2PAX ADT_E(2)  = 602.00  </t>
  </si>
  <si>
    <t>CASA ANDINA PREMIUM PUNO</t>
  </si>
  <si>
    <t>010021937</t>
  </si>
  <si>
    <t xml:space="preserve">16-Jul-26 | PUN |  | SUPERIOR LAKE VIEW 2PAX ADT_E(2)  = 124.30  </t>
  </si>
  <si>
    <t>CUSCO AVENTURAS</t>
  </si>
  <si>
    <t>010022763</t>
  </si>
  <si>
    <t xml:space="preserve">16-Jul-26 | CUZ | TRANSPORTE SUPERIOR | 009905 - TRF OUT CLINICA SOS AV 28 DE JULIO - APTO 2PAX ADT_E(2)  = 45.00  </t>
  </si>
  <si>
    <t>010022764</t>
  </si>
  <si>
    <t>010022449</t>
  </si>
  <si>
    <t xml:space="preserve">04-Jul-26 | CUZ | TRANSPORTE TURISTICO | TRF APTO VUELO LA2166 /HTL CASA ANDINA STANDARD CUSCO PLAZA 3PAX ADT_E(3)  = 12.00  04-Jul-26 | CUZ | TRANSPORTE TURISTICO | 008389 - BOTELLA DE FONTEVITA 350 ML ENVASE DE VIDRIO 3PAX ADT_E(3)  = 4.50  06-Jul-26 | </t>
  </si>
  <si>
    <t>010022720</t>
  </si>
  <si>
    <t>12-Jul-26 | MAP | GUIA ENG - ESP | GUIA MACHU PICCHU 3HRS CIRCUITO 2B 12:00PM - CON TRF IN VTD 31 2PAX ADT_E(2)  = 80.00  12-Jul-26 | MAP | GUIA ENG - ESP | ASISTENCIA BUS - REST. INDIO FELIZ 2PAX ADT_E(2)  = 7.00  12-Jul-26 | MAP | GUIA ENG - ESP | ASIST</t>
  </si>
  <si>
    <t>010022772</t>
  </si>
  <si>
    <t xml:space="preserve">19-Jun-26 | CUZ | TRANSPORTE SUPERIOR | TRF APTO VUELO LA2077 - HTL CASA ANDINA PREMIUM VALLE MALETERO INC. 6PAX ADT_E(6)  = 125.00  19-Jun-26 | CUZ | TRANSPORTE SUPERIOR | 2 POR PAX BOTELLA DE AGUA FONTEVITA 350 ML ENVASE DE VIDRIO 6PAX ADT_E(6)  = 6.00 </t>
  </si>
  <si>
    <t>KEMPOR TOURS</t>
  </si>
  <si>
    <t>010022674</t>
  </si>
  <si>
    <t xml:space="preserve">04-Jul-26 | CUZ | OPERADOR TRADICIONALES | 008955 - SERVICIO DE OPERACION POR DIA 2PAX ADT_E(2)  = 35.00  05-Jul-26 | CUZ | OPERADOR TRADICIONALES | 008955 - SERVICIO DE OPERACION POR DIA 2PAX ADT_E(2)  = 35.00  07-Jul-26 | CUZ | OPERADOR TRADICIONALES | </t>
  </si>
  <si>
    <t>MCA TRANSPORTE EJECUTIVO</t>
  </si>
  <si>
    <t>010022355</t>
  </si>
  <si>
    <t>11-Jul-26 | LIM | TRASLADISTA | 002369 - VIATICOS DE MOVILIDAD NOCTURNO CASA - APTO OW O V.V - NOCTURNO 5PAX ADT_E(5)  = 18.00  12-Jul-26 | LIM | TRASLADISTA | 011018 - VIATICOS DE MOVILIDAD DIURNO CASA - APTO OW O V.V 5PAX ADT_E(5)  = 8.00  11-Jul-26 | L</t>
  </si>
  <si>
    <t>010022643</t>
  </si>
  <si>
    <t xml:space="preserve">07-Jun-26 | LIM | TRASLADISTA | 001447 - TRASLADO O ASISTENCIA APTO VUELO AF500 - HTL RADISSON DECAPOLIS 2PAX ADT_E(2)  = 29.00  09-Jun-26 | LIM | TRASLADISTA | 001447 - TRASLADO O ASISTENCIA DE DIA HTL RADISSON - APTO VUELO LA2260 2PAX ADT_E(2)  = 29.00 </t>
  </si>
  <si>
    <t>010022675</t>
  </si>
  <si>
    <t>07-Jul-26 | VAL | TRASLADISTA | 009869 - HTL VALLE RIO SAGRADO - EST. OLLANTA 2PAX ADT_E(2)  = 25.00  08-Jul-26 | CUZ | TRASLADISTA | EST POROY - HTL MARRIOT EL CONVENTO 2PAX ADT_E(2)  = 12.00  10-Jul-26 | CUZ | TRASLADISTA | TRF HOTEL MARRIOT EL CONVENTO</t>
  </si>
  <si>
    <t>CASA ANDINA PREMIUM VALLE SAGRADO</t>
  </si>
  <si>
    <t>010022267</t>
  </si>
  <si>
    <t>18-Jul-26 | VAL |  | SUPERIOR DOBLE TWIN 4PAX ADT_E(4)  = 122.10  18-Jul-26 | VAL |  | 1 SUPERIOR PLUS MATRIMONIAL KING BED 4PAX ADT_E(4)  = 138.60  19-Jul-26 | VAL |  | SUPERIOR DOBLE TWIN 4PAX ADT_E(4)  = 122.10  19-Jul-26 | VAL |  | SUPERIOR PLUS MATRI</t>
  </si>
  <si>
    <t>CASA ANDINA STANDARD CUSCO PLAZA</t>
  </si>
  <si>
    <t>010022273</t>
  </si>
  <si>
    <t>03-Jul-26 | CUZ |  | TRADICIONAL MATRIMONIAL SOLO PARA ORYNA GOICHUK 3PAX ADT_E(3)  = 102.30  04-Jul-26 | CUZ |  | TRADICIONAL MATRIMONIAL SOLO PARA ORYNA GOICHUK 3PAX ADT_E(3)  = 102.30  05-Jul-26 | CUZ |  | TRADICIONAL MATRIMONIAL SOLO PARA ORYNA GOICHU</t>
  </si>
  <si>
    <t>010022274</t>
  </si>
  <si>
    <t xml:space="preserve">03-Jul-26 | CUZ |  | TRADICIONAL  MATRIMONIAL  CAMA QUEEN SIZE MR IEVGEN GOICHUK X 2 3PAX ADT_E(3)  = 102.30  04-Jul-26 | CUZ |  | TRADICIONAL  MATRIMONIAL  CAMA QUEEN SIZE MR IEVGEN GOICHUK X 2TRADICIONAL  MATRIMONIAL  CAMA QUEEN 3PAX ADT_E(3)  = 102.30 </t>
  </si>
  <si>
    <t>010022501</t>
  </si>
  <si>
    <t>26-Jul-26 | LIM | TRANSPORTE TURISTICO | 005496 - TRF APTO VUELO TS0152 - HTL GIRASOLES  MALETERO INC. - 2HRS - HIUNDAY 2PAX ADT_E(2)  = 33.04  27-Jul-26 | LIM | TRANSPORTE TURISTICO | 005785 - TRF HTL GIRASOLES - EST. BUS CRUZ DE SUR JAVIER PRADO 2PAX AD</t>
  </si>
  <si>
    <t>010022280</t>
  </si>
  <si>
    <t xml:space="preserve">04-Jul-26 | CUZ | OPERADOR TRADICIONALES | 008955 - SERVICIO DE OPERACION POR DIA 3PAX ADT_E(3)  = 35.00  05-Jul-26 | CUZ | OPERADOR TRADICIONALES | 008955 - SERVICIO DE OPERACION POR DIA 3PAX ADT_E(3)  = 35.00  06-Jul-26 | CUZ | OPERADOR TRADICIONALES | </t>
  </si>
  <si>
    <t>010022493</t>
  </si>
  <si>
    <t>15-Jul-26 | LIM | TRANSPORTE SUPERIOR | 003265 - TRF APTO VUELO KL 743 - HTL B BARRANCO  MALETERO INC. - 2 HRS 3PAX ADT_E(3)  = 53.10  16-Jul-26 | LIM | TRANSPORTE SUPERIOR | 009658 -  CITY COLONIAL SAN FRANCISCO + CATEDRAL 4 HRS /HOTEL B BARRANCO 3PAX AD</t>
  </si>
  <si>
    <t>260700010</t>
  </si>
  <si>
    <t>010022826</t>
  </si>
  <si>
    <t xml:space="preserve">29-Jul-26 | LIM | TRANSPORTE TURISTICO | TRF APTO LA2469 - HTL TIERRA VIVA LARCO 2PAX ADT_E(2)  = 49.56  18-Ago-26 | LIM | TRANSPORTE TURISTICO | 005496 - TRF IN APTO VUELO LA2102 - PARACAS 2PAX ADT_E(2)  = 33.04  18-Ago-26 | LIM | TRANSPORTE TURISTICO | </t>
  </si>
  <si>
    <t>260700004</t>
  </si>
  <si>
    <t>010022385</t>
  </si>
  <si>
    <t xml:space="preserve">22-Jul-26 | CUZ | GUIA | 001988 - VIATICOS DE MOVILIDAD CUS - HTL VALLE OW O V.V. 4PAX ADT_E(4)  = 15.00  22-Jul-26 | CUZ | GUIA | 001983 -TRF APTO VUELO LA2037/PISAC RUINAS/MARKET/HTL TAMBO DEL- INKA 4PAX ADT_E(4)  = 75.00  </t>
  </si>
  <si>
    <t>010022475</t>
  </si>
  <si>
    <t xml:space="preserve">22-Jul-26 | CUZ | OPERADOR AVENTURA | 007134 - CAMPING: FD VINICUNCA SIN CABALLO - RUTA CUSIPATA PVT 3PAX ADT_E(3)  = 442.82  </t>
  </si>
  <si>
    <t>010022514</t>
  </si>
  <si>
    <t>19-Jul-26 | LIM | TRANSPORTE SUPERIOR | 003265 - TRF APTO VUELO KL743 - HTL B BARRANCO MALETERO INC. HIUNDAY SOLATI 4PAX ADT_E(4)  = 53.10  22-Jul-26 | LIM | TRANSPORTE SUPERIOR | 003265 - TRF HTL B BARRANCO/APTO VUELO LA2037  MALETERO INC.  HIUNDAY SOLAT</t>
  </si>
  <si>
    <t>010022473</t>
  </si>
  <si>
    <t xml:space="preserve">17-Jul-26 | CUZ | TRASLADISTA | 009863 -TRF APTO VUELO LA2075 -HOTEL TAMBO DEL INKA LUXURY 3PAX ADT_E(3)  = 25.00  17-Jul-26 | CUZ | TRASLADISTA | 009883 - VIATICOS MOVILIDAD CUS - VALLE - CUS 3PAX ADT_E(3)  = 5.00  19-Jul-26 | VAL | TRASLADISTA | 009869 </t>
  </si>
  <si>
    <t>010022342</t>
  </si>
  <si>
    <t xml:space="preserve">23-Jul-26 | CUZ | OPERADOR AVENTURA | 007842 - CAMPING: FD VINICUNCA INC. CABALLO RT- RUTA CUSIPATA PVT 4PAX ADT_E(4)  = 745.76  </t>
  </si>
  <si>
    <t>CASA ANDINA STANDARD CATEDRAL</t>
  </si>
  <si>
    <t>010022452</t>
  </si>
  <si>
    <t xml:space="preserve">08-Jul-26 | CUZ |  | TRADITIONAL CAMA QUEEN SIZE PARA ORYNA GOICHUK (18-25 m2) 3PAX ADT_E(3)  = 76.79  09-Jul-26 | CUZ |  | TRADITIONAL CAMA QUEEN SIZE PARA ORYNA GOICHUK (18-25 m2) 3PAX ADT_E(3)  = 76.79  10-Jul-26 | CUZ |  | TRADITIONAL CAMA QUEEN SIZE </t>
  </si>
  <si>
    <t>010022454</t>
  </si>
  <si>
    <t>08-Jul-26 | CUZ |  | TRADITIONAL CAMA QUEEN IEVGEN GOICHUK X 2 (18-25 m2) 3PAX ADT_E(3)  = 110.25  09-Jul-26 | CUZ |  | TRADITIONAL CAMA QUEEN IEVGEN GOICHUK X 2 (18-25 m2) 3PAX ADT_E(3)  = 110.25  10-Jul-26 | CUZ |  | TRADITIONAL CAMA QUEEN IEVGEN GOICHU</t>
  </si>
  <si>
    <t>ADRIAN CANALES GONZALES</t>
  </si>
  <si>
    <t>010022500</t>
  </si>
  <si>
    <t>26-Jul-26 | LIM | TRASLADISTA | 001448 - TRF APTO VUELO TS0152 - HTL GIRASOLES 2PAX ADT_E(2)  = 23.00  26-Jul-26 | LIM | TRASLADISTA | 002369 - VIATICOS DE MOVILIDAD NOCTURNO CASA - APTO OW O V.V 2PAX ADT_E(2)  = 10.00  27-Jul-26 | LIM | TRASLADISTA | 001</t>
  </si>
  <si>
    <t>260700019</t>
  </si>
  <si>
    <t>010022751</t>
  </si>
  <si>
    <t>20-Jul-26 | LIM | GUIA ENG - ESP | ASISTENCIA VUELO LA1430 4PAX ADT_E(4)  = 32.00  20-Jul-26 | CUZ | GUIA ENG - ESP | 001988 - VIATICOS DE MOVILIDAD CUS - HTL TAMBO DEL INKA OW O V.V. 4PAX ADT_E(4)  = 15.00  20-Jul-26 | CUZ | GUIA ENG - ESP | 010540 - REC</t>
  </si>
  <si>
    <t>010022722</t>
  </si>
  <si>
    <t xml:space="preserve">12-Ago-26 | PUN |  | SUPERIOR SIN VISTA 6PAX ADT_E(6)  = 323.40  13-Ago-26 | PUN |  | SUPERIOR SIN VISTA 6PAX ADT_E(6)  = 323.40  </t>
  </si>
  <si>
    <t>CASA ANDINA SELECT AREQUIPA</t>
  </si>
  <si>
    <t>010022723</t>
  </si>
  <si>
    <t xml:space="preserve">15-Ago-26 | AQP |  | SUPERIOR WITH TERRACE 6PAX ADT_E(6)  = 301.40  </t>
  </si>
  <si>
    <t>010022724</t>
  </si>
  <si>
    <t xml:space="preserve">16-Ago-26 | AQP |  | SUPERIOR WITH TERRACE 2PAX ADT_E(2)  = 150.70 (MR &amp; MRS GIBSON)  17-Ago-26 | AQP |  | SUPERIOR WITH TERRACE 2PAX ADT_E(2)  = 150.70 (MR &amp; MRS GIBSON)  </t>
  </si>
  <si>
    <t>010022766</t>
  </si>
  <si>
    <t xml:space="preserve">17-Jul-26 | LIM | GUIA ENG - ESP | 001451 - ACOMPAÑAMIENTO ALMUERZO EN REST. CALA 2PAX ADT_E(2)  = 32.00  17-Jul-26 | LIM | GUIA ENG - ESP | ASISTENCIA REST. CALA/ APTO VUELO KL744 2PAX ADT_E(2)  = 32.00  </t>
  </si>
  <si>
    <t>010022476</t>
  </si>
  <si>
    <t xml:space="preserve">24-Jul-26 | MAP | GUIA | 004197 - ASISTENCIA LLEGADA VTF 31/HTL MACHU PICCHU PUEBLO INKATERRA 4PAX ADT_E(4)  = 7.00  25-Jul-26 | MAP | GUIA | 004196 - GUIA MACHU PICCHU 3HRS CIRCUIT2A 09:00 - CON TRF IN HTL/TRF OUT VTD OBS34 4PAX ADT_E(4)  = 80.00  </t>
  </si>
  <si>
    <t>010022477</t>
  </si>
  <si>
    <t xml:space="preserve">19-Jul-26 | MAP | GUIA | 004197 - ASISTENCIA IN VISTADOME 31/HTL MACHU PICCHU PUEBLO INKATERRA 3PAX ADT_E(3)  = 7.00  20-Jul-26 | MAP | GUIA | 004200 - GUIADO MACHU PICCHU CIRCUITO 1 A 5HRS 3PAX ADT_E(3)  = 160.00  </t>
  </si>
  <si>
    <t>010022752</t>
  </si>
  <si>
    <t>21-Jul-26 | MAP | GUIA ENG - ESP | 004197 - ASISTENCIA  OUT 4PAX ADT_E(4)  = 7.00  22-Jul-26 | MAP | GUIA ENG - ESP | 004197 - ASISTENCIA IN O OUT 4PAX ADT_E(4)  = 7.00  22-Jul-26 | MAP | GUIA ENG - ESP | 004200 - GUIADO MACHU PICCHU + WAYNA PICCHU - 5HRS</t>
  </si>
  <si>
    <t>010022347</t>
  </si>
  <si>
    <t xml:space="preserve">18-Jul-26 | CUZ | TRASLADISTA | TRF ESTACION TREN WANCHAQ/ HTL CASA ANDINA PREMIUM VALLE 4PAX ADT_E(4)  = 25.00  18-Jul-26 | CUZ | TRASLADISTA | 009883 - VIATICOS MOVILIDAD CUS - VALLE - CUS 4PAX ADT_E(4)  = 10.00  24-Jul-26 | CUZ | TRASLADISTA | TRF HTL </t>
  </si>
  <si>
    <t>010022857</t>
  </si>
  <si>
    <t>12-Jul-26 | CUZ | TRASLADISTA | 009863 - APTO VUELO LA2238 - HTL ANDENIA VALLE SAGRADO 5PAX ADT_E(5)  = 25.00  12-Jul-26 | CUZ | TRASLADISTA | 009883 - VIATICOS MOVILIDAD CUS - VALLE - CUS 5PAX ADT_E(5)  = 5.00  19-Jul-26 | CUZ | TRASLADISTA | 009860 - HT</t>
  </si>
  <si>
    <t>010022343</t>
  </si>
  <si>
    <t xml:space="preserve">22-Jul-26 | CUZ | GUIA | HD SACSAYHUAMAN + KORICANCHA + CATEDRAL  4 HRS 4PAX ADT_E(4)  = 60.00  </t>
  </si>
  <si>
    <t>010022371</t>
  </si>
  <si>
    <t xml:space="preserve">21-Jul-26 | CUZ | GUIA | SACSAYHUAMAN + CATEDRAL + KORICANCHA - 4HRS 3PAX ADT_E(3)  = 60.00  </t>
  </si>
  <si>
    <t>010022298</t>
  </si>
  <si>
    <t>10-Jul-26 | CUZ | TRANSPORTE TURISTICO | TRF APTO /HTL SONESTA POSADA YUCAY VALLE VUELO LA2130 2PAX ADT_E(2)  = 75.00  10-Jul-26 | CUZ | TRANSPORTE TURISTICO | 2 BOTELLA POR PAX DE FONTEVITA 350 ML ENVASE DE VIDRIO 2PAX ADT_E(2)  = 3.00  11-Jul-26 | VAL |</t>
  </si>
  <si>
    <t>010022260</t>
  </si>
  <si>
    <t xml:space="preserve">10-Jul-26 | CUZ | OPERADOR TRADICIONALES | 008955 - SERVICIO DE OPERACION POR DIA 2PAX ADT_E(2)  = 35.00  11-Jul-26 | CUZ | OPERADOR TRADICIONALES | 008955 - SERVICIO DE OPERACION POR DIA 2PAX ADT_E(2)  = 35.00  12-Jul-26 | CUZ | OPERADOR TRADICIONALES | </t>
  </si>
  <si>
    <t>MANUEL GIRON RIVERA GUIA</t>
  </si>
  <si>
    <t>010022331</t>
  </si>
  <si>
    <t xml:space="preserve">19-Jul-26 | LIM | GUIA | 009562 - SVS POR 8 HRS APTO/CENTRO HISTORICO/LUNCH CALA/BARRANCO/APTO 5PAX ADT_E(5)  = 144.00  </t>
  </si>
  <si>
    <t>010022261</t>
  </si>
  <si>
    <t xml:space="preserve">12-Jul-26 | CUZ |  | TRADICIONAL CON VISTA MATRIMONIAL QUEEN SIZE BED 2PAX ADT_E(2)  = 113.30  13-Jul-26 | CUZ |  | TRADICIONAL CON VISTA MATRIMONIAL QUEEN SIZE BED 2PAX ADT_E(2)  = 113.30  </t>
  </si>
  <si>
    <t>010022330</t>
  </si>
  <si>
    <t xml:space="preserve">12-Jul-26 | CUZ | OPERADOR TRADICIONALES | 008955 - SERVICIO DE OPERACION POR DIA 5PAX ADT_E(5)  = 35.00  13-Jul-26 | CUZ | OPERADOR TRADICIONALES | 008955 - SERVICIO DE OPERACION POR DIA 5PAX ADT_E(5)  = 35.00  14-Jul-26 | CUZ | OPERADOR TRADICIONALES | </t>
  </si>
  <si>
    <t>010022337</t>
  </si>
  <si>
    <t>12-Jul-26 | AQP | OPERADOR TRADICIONALES | TRF APTO VUELO LA2330 /HTL KATARI 4PAX ADT_E(4)  = 44.00  12-Jul-26 | AQP | OPERADOR TRADICIONALES | 003362 - 01 BOTELLA DE AGUA 4PAX ADT_E(4)  = 4.00  13-Jul-26 | AQP | OPERADOR TRADICIONALES | CITY TOUR + MONAS</t>
  </si>
  <si>
    <t>260800004</t>
  </si>
  <si>
    <t>LA HACIENDA BAHIA PARACAS</t>
  </si>
  <si>
    <t>010022863</t>
  </si>
  <si>
    <t xml:space="preserve">12-Ago-26 | PRC |  | SUITE MATRIMONIAL  2PAX ADT_E(2)  = 260.00  13-Ago-26 | PRC |  | SUITE MATRIMONIAL  2PAX ADT_E(2)  = 260.00  </t>
  </si>
  <si>
    <t>010022396</t>
  </si>
  <si>
    <t xml:space="preserve">06-Ago-26 | LIM | GUIA | 006393 - VIATICO DE ALIMENTACIÓN 4PAX ADT_E(4)  = 120.00  </t>
  </si>
  <si>
    <t>14-Ago-26 | PUN | OPERADOR TRADICIONALES | 005019 - 3D/2N PUN - COL - AQP PVT - HTL ARANWA COLCA  IN/OUT CHIVAY INC. BTC 2PAX ADT_E(2)  = 1028.00  15-Ago-26 | PUN | OPERADOR TRADICIONALES | 005019 - 3D/2N PUN - COL - AQP PVT - HTL IN/OUT CHIVAY INC. BTC 2</t>
  </si>
  <si>
    <t>010022827</t>
  </si>
  <si>
    <t>CASA ANDINA STANDARD PUNO</t>
  </si>
  <si>
    <t>010022401</t>
  </si>
  <si>
    <t xml:space="preserve">29-Jul-26 | PUN |  | 1 TRADICIONAL MATRIMONIAL 2PAX ADT_E(2)  = 56.84  30-Jul-26 | PUN |  | 1 TRADICIONAL MATRIMONIAL 2PAX ADT_E(2)  = 56.84  31-Jul-26 | PUN |  | 1 TRADICIONAL MATRIMONIAL 2PAX ADT_E(2)  = 56.84  </t>
  </si>
  <si>
    <t>010022399</t>
  </si>
  <si>
    <t xml:space="preserve">24-Jul-26 | VAL | TRASLADISTA | 009869 - HTL TAMBO DEL INKA VALLE - EST. OLLANTA VTD 31 4PAX ADT_E(4)  = 25.00  24-Jul-26 | CUZ | TRASLADISTA | 009883 - VIATICOS MOVILIDAD CUS - VALLE - CUS 4PAX ADT_E(4)  = 10.00  25-Jul-26 | CUZ | TRASLADISTA | 009867 - </t>
  </si>
  <si>
    <t>GUIA ENG ROLLY VICTOR CARRASCO ALEGRE</t>
  </si>
  <si>
    <t>010022860</t>
  </si>
  <si>
    <t xml:space="preserve">30-Jul-26 | VAL | MUSEOS Y GALERIAS | ENTRADA MUSEO INKARIY ( 8 ADT EXT, 2 ADT PERU, 5 CHD EX, 2 CHD PERU) - 1 CHD DE 4 E INFANTE NO PAGAN 19PAX ADT_E(19)  = 651.00  </t>
  </si>
  <si>
    <t>010022861</t>
  </si>
  <si>
    <t xml:space="preserve">30-Jul-26 | CUZ | GUIA ENG - ESP | VIATICO DE ALIMENTACIÓN ALMUERO 19PAX ADT_E(19)  = 15.00  </t>
  </si>
  <si>
    <t>260800003</t>
  </si>
  <si>
    <t>010022689</t>
  </si>
  <si>
    <t>06-Ago-26 | LIM | TRANSPORTE TURISTICO | TRF APTO VUELO UX175 - HTL SECOND HOME BARRANCO 2PAX ADT_E(2)  = 33.04  06-Ago-26 | LIM | TRANSPORTE TURISTICO | TRF HD GASTRONOMICO - 6 HRS 2PAX ADT_E(2)  = 106.20  07-Ago-26 | LIM | TRANSPORTE TURISTICO | TRF HTL</t>
  </si>
  <si>
    <t>010022511</t>
  </si>
  <si>
    <t xml:space="preserve">15-Jul-26 | CUZ | TRANSPORTE TURISTICO | TRASLADO DE MALETAS DE PAX HTL ANDENIA URUBAMBA/HTL CASA CARTAGENA CUSCO 5PAX ADT_E(5)  = 70.00  </t>
  </si>
  <si>
    <t>ALPA-K TRAVEL</t>
  </si>
  <si>
    <t>010022878</t>
  </si>
  <si>
    <t xml:space="preserve">07-Ago-26 | HUZ | OPERADOR AVENTURA | 011089 - ALPA-K: 3D DISCOVERING HUARAZ AND THE CORDILLERA BLANCA 2PAX ADT_E(2)  = 1510.40  08-Ago-26 | HUZ | OPERADOR AVENTURA | 011089 - ALPA-K: 3D DISCOVERING HUARAZ AND THE CORDILLERA BLANCA 2PAX ADT_E(2)  = 0.00  </t>
  </si>
  <si>
    <t>CALA  - MAR DE AMOR</t>
  </si>
  <si>
    <t>010022853</t>
  </si>
  <si>
    <t xml:space="preserve">06-Ago-26 | LIM | CULINARIO: OPE Y HTL | CALA: CLASE DEMO DE PISCO Y CEBICHE CON TASTING + PORCION DE CEVICHE 2PAX ADT_E(2)  = 200.00  </t>
  </si>
  <si>
    <t>NATURA VIVE: SKYLODGE - STARLODGE</t>
  </si>
  <si>
    <t>010022696</t>
  </si>
  <si>
    <t xml:space="preserve">15-Ago-26 | CUZ | OPERADOR AVENTURA | NATURA VIVE: VIA FERRATA + ZIP LINE WITH TRF - PVT 2PAX ADT_E(2)  = 1040.76  </t>
  </si>
  <si>
    <t>010022296</t>
  </si>
  <si>
    <t>16-Jul-26 | PUN | OPERADOR TRADICIONALES | ARCOBALENO: H/D UROS LANCHA RAPIDA - PVT- CASA ANDINA PREMIUM PUNO 2PAX ADT_E(2)  = 184.34  17-Jul-26 | PUN | TRANSPORTE TURISTICO | TRF HTL CASA ANDINA PREMIUM PUNO - APTO VUELO LA2148 SALE A LAS 11:00 2PAX ADT_</t>
  </si>
  <si>
    <t>010022338</t>
  </si>
  <si>
    <t>17-Jul-26 | PUN | OPERADOR TRADICIONALES | 008132 - ARCOBALENO: FD UROS TAQUILE SPEED BOAT SIC + ALMUERZO + PVT GUIDE 4PAX ADT_E(4)  = 326.96  18-Jul-26 | PUN | TRANSPORTE TURISTICO | TRF SONESTA POSADA DEL INCA PUNO/ESTACION DE TREN TITICACA TRAIN PUNO/C</t>
  </si>
  <si>
    <t>010022478</t>
  </si>
  <si>
    <t xml:space="preserve">17-Jul-26 | CUZ | TRANSPORTE SUPERIOR | 010479 - 2 BOTELLAS A DE AGUA FONTEVITA 350 ML ENVASE DE VIDRIO 3PAX ADT_E(3)  = 4.20  17-Jul-26 | CUZ | TRANSPORTE SUPERIOR | 010187 - TRF APTO VUELO LA2075 -HOTEL TAMBO DEL INKA LUXURY MALETERO INC. 3PAX ADT_E(3) </t>
  </si>
  <si>
    <t>KUTIMUY</t>
  </si>
  <si>
    <t>010022757</t>
  </si>
  <si>
    <t>20-Jul-26 | CUZ | TRANSPORTE SUPERIOR | 010204 - TRF APTO VUELO LA2028 - OLLANTA - HTL VALLE TAMBO DEL INKA MALETERO INC. 4PAX ADT_E(4)  = 130.00  20-Jul-26 | CUZ | TRANSPORTE SUPERIOR | 010479 - BOTELLA DE AGUA FONTEVITA 350 ML ENVASE DE VIDRIO 4PAX ADT_</t>
  </si>
  <si>
    <t>010022758</t>
  </si>
  <si>
    <t>010022756</t>
  </si>
  <si>
    <t xml:space="preserve">20-Jul-26 | CUZ | OPERADOR TRADICIONALES | 008955 - SERVICIO DE OPERACION POR DIA 4PAX ADT_E(4)  = 35.00  21-Jul-26 | CUZ | OPERADOR TRADICIONALES | 008955 - SERVICIO DE OPERACION POR DIA 4PAX ADT_E(4)  = 35.00  22-Jul-26 | CUZ | OPERADOR TRADICIONALES | </t>
  </si>
  <si>
    <t>PAUL F. CATACORA RAMIREZ ESPECIALISTA AVES</t>
  </si>
  <si>
    <t>010022352</t>
  </si>
  <si>
    <t xml:space="preserve">28-Jul-26 | LIM | GUIA | TRF HTL CASA REPUBLICA/ HTL HACIENDA BAHIA PARACAS 4PAX ADT_E(4)  = 100.00  29-Jul-26 | LIM | GUIA | 006308 -PARACAS/ HUACACHINA BRINDIS EXPRESS UTV 60MIN FERIADO 4PAX ADT_E(4)  = 100.00  30-Jul-26 | LIM | GUIA | TRF HTL HACIENDA </t>
  </si>
  <si>
    <t>010022350</t>
  </si>
  <si>
    <t>11-Jul-26 | LIM | TRASLADISTA | 011018 - VIATICOS DE MOVILIDAD DIURNO CASA - APTO OW O V.V 4PAX ADT_E(4)  = 8.00  12-Jul-26 | LIM | TRASLADISTA | 011018 - VIATICOS DE MOVILIDAD DIURNO CASA - APTO OW O V.V 4PAX ADT_E(4)  = 8.00  27-Jul-26 | LIM | TRASLADIS</t>
  </si>
  <si>
    <t>010022368</t>
  </si>
  <si>
    <t>15-Jul-26 | LIM | TRASLADISTA | 011018 - VIATICOS DE MOVILIDAD DIURNO CASA - APTO OW O V.V 3PAX ADT_E(3)  = 8.00  17-Jul-26 | LIM | TRASLADISTA | 011018 - VIATICOS DE MOVILIDAD DIURNO CASA - APTO OW O V.V 3PAX ADT_E(3)  = 8.00  26-Jul-26 | LIM | TRASLADIS</t>
  </si>
  <si>
    <t>010022318</t>
  </si>
  <si>
    <t xml:space="preserve">11-Jul-26 | LIM | TRANSPORTE TURISTICO | TRF APTO KL743  - HTL CASA REPUBLICA BARRANCO  MALETERO INC. - 2HRS HYUNDAI 4PAX ADT_E(4)  = 35.40  12-Jul-26 | LIM | TRANSPORTE TURISTICO | CASA REPUBLICA BARRANCO- SANTO DOMINGO- CASA ALIAGA 4 HRS 4PAX ADT_E(4)  </t>
  </si>
  <si>
    <t>010022753</t>
  </si>
  <si>
    <t xml:space="preserve">22-Jul-26 | CUZ | GUIA ENG - ESP | 006255 - ASISTENCIA EST. POROY - HTL BELMOND MONASTERIO 4PAX ADT_E(4)  = 20.00  25-Jul-26 | CUZ | GUIA ENG - ESP | 001981 - ASISTENCIA HTL BELMOND MONASTERIO - APTO 4PAX ADT_E(4)  = 20.00  </t>
  </si>
  <si>
    <t>Comentario</t>
  </si>
  <si>
    <t>Sin factura</t>
  </si>
  <si>
    <t>010022372</t>
  </si>
  <si>
    <t xml:space="preserve">17-Jul-26 | CUZ | OPERADOR TRADICIONALES | 008955 - SERVICIO DE OPERACION POR DIA 3PAX ADT_E(3)  = 35.00  18-Jul-26 | CUZ | OPERADOR TRADICIONALES | 008955 - SERVICIO DE OPERACION POR DIA 3PAX ADT_E(3)  = 35.00  19-Jul-26 | CUZ | OPERADOR TRADICIONALES | </t>
  </si>
  <si>
    <t>PALACIO GUAQUI BY ANANAY HOTELS</t>
  </si>
  <si>
    <t>010022358</t>
  </si>
  <si>
    <t xml:space="preserve">25-Jul-26 | AQP |  | 01 JUNIOR SUITE MATRIMONIAL ROOM (32 m²) WITH A KING BED + 1 JUNIOR SUITE SINGLE ROMM 3PAX ADT_E(3)  = 2024.00  </t>
  </si>
  <si>
    <t>010022346</t>
  </si>
  <si>
    <t xml:space="preserve">18-Jul-26 | CUZ | OPERADOR TRADICIONALES | 008955 - SERVICIO DE OPERACION POR DIA 4PAX ADT_E(4)  = 35.00  19-Jul-26 | CUZ | OPERADOR TRADICIONALES | 008955 - SERVICIO DE OPERACION POR DIA 4PAX ADT_E(4)  = 35.00  20-Jul-26 | CUZ | OPERADOR TRADICIONALES | </t>
  </si>
  <si>
    <t>010022489</t>
  </si>
  <si>
    <t>18-Jul-26 | CUZ | TRANSPORTE TURISTICO | TRF ESTACION TREN WANCHAQ/ HTL CASA ANDINA PREMIUM VALLE OW O V.V MALETERO INC. 4PAX ADT_E(4)  = 100.00  18-Jul-26 | CUZ | TRANSPORTE TURISTICO | 2 POR PAX BOTELLA DE FONTEVITA 350 ML ENVASE DE VIDRIO 4PAX ADT_E(4)</t>
  </si>
  <si>
    <t>010022488</t>
  </si>
  <si>
    <t>010022622</t>
  </si>
  <si>
    <t xml:space="preserve">20-Ago-26 | VAL |  | SUITE MATRIMONIAL 2PAX ADT_E(2)  = 149.60  21-Ago-26 | VAL |  | SUITE MATRIMONIAL 2PAX ADT_E(2)  = 149.60  22-Ago-26 | VAL |  | SUITE MATRIMONIAL 2PAX ADT_E(2)  = 149.60  </t>
  </si>
  <si>
    <t>CHEF ERNESTO ALCAZAR</t>
  </si>
  <si>
    <t>010022881</t>
  </si>
  <si>
    <t xml:space="preserve">31-Jul-26 | VAL | CHEF | 2DA COMPRA DE INSUMOS 17PAX ADT_E(17)  = 1000.00  </t>
  </si>
  <si>
    <t>010022882</t>
  </si>
  <si>
    <t>010022886</t>
  </si>
  <si>
    <t xml:space="preserve">03-Ago-26 | VAL | CHEF | 3ERA COMPRA DE INSUMOS 17PAX ADT_E(17)  = 1211.79  </t>
  </si>
  <si>
    <t>010022887</t>
  </si>
  <si>
    <t>HUACA PUCLLANA</t>
  </si>
  <si>
    <t>010022883</t>
  </si>
  <si>
    <t xml:space="preserve">06-Ago-26 | LIM | RESTAURANTES | MENU GUIA 2PAX ADT_E(2)  = 80.00  </t>
  </si>
  <si>
    <t>RIVERA ALPISTE NATHALY RIVERA</t>
  </si>
  <si>
    <t>010022884</t>
  </si>
  <si>
    <t xml:space="preserve">06-Ago-26 | LIM | RESTAURANTES | HUACA PUCLLANA: ALMUERZO A LA CARTA (RESERVA DE MESA) 2PAX ADT_E(2)  = 320.00  </t>
  </si>
  <si>
    <t>ALQUILER ESTUFAS  PISAC OBERTO</t>
  </si>
  <si>
    <t>010022909</t>
  </si>
  <si>
    <t xml:space="preserve">04-Ago-26 | VAL | LODGE | ALQUILER DE SECADORA DE CABELLO 1PAX ADT_E(1)  = 20.00  </t>
  </si>
  <si>
    <t>MARTINA WASI - VILLA PISAC</t>
  </si>
  <si>
    <t>010022907</t>
  </si>
  <si>
    <t xml:space="preserve">04-Ago-26 | VAL | LODGE | 010930 - MARTINA WASI: 1 NOCHE EN VILLA 1PAX ADT_E(1)  = 454.00  </t>
  </si>
  <si>
    <t>010022908</t>
  </si>
  <si>
    <t>SALMAD - ALQUILER DE AUTOS Y VAN</t>
  </si>
  <si>
    <t>010022905</t>
  </si>
  <si>
    <t xml:space="preserve">30-Jul-26 | CUZ | ALQUILER DE AUTOS | 011091 - ALQUILER DE AUTO POR DÍA 1PAX ADT_E(1)  = 95.00  30-Jul-26 | CUZ | ALQUILER DE AUTOS | 011092 - DROP OFF FROM VALLE 1PAX ADT_E(1)  = 35.00  31-Jul-26 | CUZ | ALQUILER DE AUTOS | 011091 - ALQUILER DE AUTO POR </t>
  </si>
  <si>
    <t>010022906</t>
  </si>
  <si>
    <t xml:space="preserve">04-Ago-26 | CUZ | ALQUILER DE AUTOS | 011091 - ALQUILER DE AUTO POR DÍA 1PAX ADT_E(1)  = 95.00  </t>
  </si>
  <si>
    <t>260900010</t>
  </si>
  <si>
    <t>SOL Y LUNA - RELAIS ET CHATEAUX</t>
  </si>
  <si>
    <t>010022885</t>
  </si>
  <si>
    <t xml:space="preserve">10-Set-26 | VAL |  | PREMIUM CASITA (120 m2) 2PAX ADT_E(2)  = 1289.00  11-Set-26 | VAL |  | PREMIUM CASITA (120 m2) 2PAX ADT_E(2)  = 1289.00  </t>
  </si>
  <si>
    <t>260800007</t>
  </si>
  <si>
    <t>ALQA - GALERÍA DE EXPRESIONES ANDINAS S.R.L.</t>
  </si>
  <si>
    <t>010022872</t>
  </si>
  <si>
    <t xml:space="preserve">14-Ago-26 | VAL | RESTAURANTES | 009538 - ALQA: ALMUERZO O CENA DE AUTORES SIN MARIDAJE 3PAX ADT_E(3)  = 570.00  14-Ago-26 | VAL | RESTAURANTES | 009724 - ALQA: ALMUERZO O CENA DE AUTORES CON O SIN VISITA GUIADA - GUIA 3PAX ADT_E(3)  = 160.00  </t>
  </si>
  <si>
    <t>ANCAYPURO TORRES JOSE LUIS</t>
  </si>
  <si>
    <t>BUGANVILLA</t>
  </si>
  <si>
    <t>010022845</t>
  </si>
  <si>
    <t xml:space="preserve">18-Ago-26 | LIM | GUIA ENG - ESP | 010990 - 2D-1N LIM PRC ICA  ASISTENCIA GUIA CON VIATICOS 2PAX ADT_E(2)  = 332.76  19-Ago-26 | LIM | GUIA ENG - ESP | 010990 - 2D-1N LIM PRC ICA  ASISTENCIA GUIA CON VIATICOS 2PAX ADT_E(2)  = 0.00  </t>
  </si>
  <si>
    <t>010022864</t>
  </si>
  <si>
    <t xml:space="preserve">13-Ago-26 | PRC | PASEOS MARITIMOS | LA HACIENDA: TOUR A LAS ISLAS BALLESTAS - SIC 2PAX ADT_E(2)  = 62.00  </t>
  </si>
  <si>
    <t>010022902</t>
  </si>
  <si>
    <t xml:space="preserve">09-Ago-26 | LIM | TRANSPORTE SUPERIOR | 003265 - TRF IN APTO LA2415 - HTL REAL INTERCONTINENTAL 3PAX ADT_E(3)  = 82.60  09-Ago-26 | LIM | TRANSPORTE SUPERIOR | 005392 - 01 BOTELLA DE AGUA FONTEVITA 350 ML VIDRIO SIN GAS 3PAX ADT_E(3)  = 3.00  10-Ago-26 | </t>
  </si>
  <si>
    <t>010022917</t>
  </si>
  <si>
    <t xml:space="preserve">06-Ago-26 | LIM | CULINARIO: OPE Y HTL | MERCADO TOUR CULINARIO - FRUTAS - MERCADO 2 SURQUILLO 2PAX ADT_E(2)  = 25.00  06-Ago-26 | LIM | CATA DE CAFE Y/O CHOCOLATE | UKAW: CATA DE CAFE Y CHOCOLATE PVT 2PAX ADT_E(2)  = 70.00  </t>
  </si>
  <si>
    <t>010022405</t>
  </si>
  <si>
    <t xml:space="preserve">05-Ago-26 | MAP | GUIA | 004196 - GUIA MACHU PICCHU CIRCUIT 2A 3HRS - CON TRF IN EXP 31 TRF OUT EXP 604 2PAX ADT_E(2)  = 80.00  </t>
  </si>
  <si>
    <t>260700020</t>
  </si>
  <si>
    <t>010022629</t>
  </si>
  <si>
    <t xml:space="preserve">28-Jul-26 | CUZ | TRASLADISTA | 009860 - APTO - HTL PALACO NAZARENAS OW O V.V 2PAX ADT_E(2)  = 8.00  03-Ago-26 | CUZ | TRASLADISTA | 009860 - CUSCO HTL PALACIO NAZARENAS - APTO  OW O V.V 2PAX ADT_E(2)  = 8.00  </t>
  </si>
  <si>
    <t>010022387</t>
  </si>
  <si>
    <t xml:space="preserve">22-Jul-26 | CUZ | OPERADOR TRADICIONALES | 008955 - SERVICIO DE OPERACION POR DIA 4PAX ADT_E(4)  = 35.00  24-Jul-26 | CUZ | OPERADOR TRADICIONALES | 008955 - SERVICIO DE OPERACION POR DIA 4PAX ADT_E(4)  = 35.00  25-Jul-26 | CUZ | OPERADOR TRADICIONALES | </t>
  </si>
  <si>
    <t>260800005</t>
  </si>
  <si>
    <t>010021519</t>
  </si>
  <si>
    <t xml:space="preserve">31-Ago-26 | CUZ | OPERADOR TRADICIONALES | CAMPING: INCA TREK 4D/3N VISTADOME DWB PVT 6PAX ADT_E(6)  = 4832.10  </t>
  </si>
  <si>
    <t>010021517</t>
  </si>
  <si>
    <t xml:space="preserve">04-Set-26 | VAL | LODGE | STARLODGE NATURA VIVE: VIA FERRATA + ZIPLINE + 01 NOCHE -3PODS 6PAX ADT_E(6)  = 9660.00  </t>
  </si>
  <si>
    <t>010022910</t>
  </si>
  <si>
    <t xml:space="preserve">05-Ago-26 | CUZ | TRASLADISTA | 009867 -TRF HTL INKARRI CUSCO/ EST. POROY 2PAX ADT_E(2)  = 15.00  </t>
  </si>
  <si>
    <t>010022937</t>
  </si>
  <si>
    <t xml:space="preserve">29-Jul-26 | VAL | CHEF | VIATICO DE ALOJAMIENTO Y TRASLADO 17PAX ADT_E(17)  = 186.00  </t>
  </si>
  <si>
    <t>010022938</t>
  </si>
  <si>
    <t>010022384</t>
  </si>
  <si>
    <t>22-Jul-26 | CUZ | TRANSPORTE SUPERIOR | 010204 - TRF APTO VUELO LA2037/PISAC RUINAS/MARKET/HTL TAMBO DEL- INKA RENAULT MASTER 4PAX ADT_E(4)  = 135.00  22-Jul-26 | CUZ | TRANSPORTE SUPERIOR | 010479 2 POR PAX BOTELLA DE AGUA FONTEVITA 350 ML ENVASE DE VIDR</t>
  </si>
  <si>
    <t>010022859</t>
  </si>
  <si>
    <t xml:space="preserve">30-Jul-26 | CUZ | GUIA ENG - ESP | TRF APTO - VILLA PISAC KURIWASI II | ARRIBAN EN VUELO LA2032 6PAX ADT_E(6)  = 40.00  </t>
  </si>
  <si>
    <t>010022865</t>
  </si>
  <si>
    <t xml:space="preserve">30-Jul-26 | CUZ | GUIA ENG - ESP | HTL MARTINA WASI - RUINAS OLLANTA - PACHAMANCA ALBERGUE OLLANTA - MUSEO INKARIY - HTL PISAC 19PAX ADT_E(19)  = 150.00  </t>
  </si>
  <si>
    <t>010022919</t>
  </si>
  <si>
    <t xml:space="preserve">30-Jul-26 | CUZ | TRANSPORTE SUPERIOR | TRF APTO - AWANACANCHA - MARTINA WASI PISAC | ARRIBA EN VUELO CHARTER (N12NU) 9PAX ADT_E(9)  = 270.00  </t>
  </si>
  <si>
    <t>010022920</t>
  </si>
  <si>
    <t>010022928</t>
  </si>
  <si>
    <t xml:space="preserve">01-Ago-26 | CUZ | TRANSPORTE SUPERIOR | 01 AGUA SAN MATEO POR PERSONA (14 UNIDADES) + DIFERENCIA MOVILIDAD 14PAX ADT_E(14)  = 22.40  01-Ago-26 | CUZ | TRANSPORTE SUPERIOR | 01 AGUA SAN MATEO POR PERSONA (14 UNIDADES) 14PAX ADT_E(14)  = 22.40  </t>
  </si>
  <si>
    <t>010022929</t>
  </si>
  <si>
    <t>010022930</t>
  </si>
  <si>
    <t xml:space="preserve">30-Jul-26 | CUZ | TRANSPORTE SUPERIOR | 01 BOTELLA DE AGUA SAN MATEO POR PERSONA (9 UNIDADES) 9PAX ADT_E(9)  = 14.40  04-Ago-26 | CUZ | TRANSPORTE SUPERIOR | 01 BOTELLA DE AGUA SAN MATEO POR PERSONA (9 UNIDADES) 9PAX ADT_E(9)  = 12.80  </t>
  </si>
  <si>
    <t>010022931</t>
  </si>
  <si>
    <t>010022932</t>
  </si>
  <si>
    <t xml:space="preserve">30-Jul-26 | CUZ | TRANSPORTE SUPERIOR | 1 BOTELLA + MOVILIDAD PARA COMPRAR 9PAX ADT_E(9)  = 11.80  </t>
  </si>
  <si>
    <t>010022933</t>
  </si>
  <si>
    <t>010022748</t>
  </si>
  <si>
    <t xml:space="preserve">28-Jul-26 | CUZ | OPERADOR TRADICIONALES | 008955 - SERVICIO DE OPERACION POR DIA 2PAX ADT_E(2)  = 35.00  29-Jul-26 | CUZ | OPERADOR TRADICIONALES | 008955 - SERVICIO DE OPERACION POR DIA 2PAX ADT_E(2)  = 35.00  30-Jul-26 | CUZ | OPERADOR TRADICIONALES | </t>
  </si>
  <si>
    <t>010022934</t>
  </si>
  <si>
    <t xml:space="preserve">30-Jul-26 | CUZ | OPERADOR TRADICIONALES | 008955 - SERVICIO DE OPERACION POR DIA 6PAX ADT_E(6)  = 35.00  05-Ago-26 | CUZ | OPERADOR TRADICIONALES | 008955 - SERVICIO DE OPERACION POR DIA 6PAX ADT_E(6)  = 35.00  </t>
  </si>
  <si>
    <t>010022935</t>
  </si>
  <si>
    <t xml:space="preserve">01-Ago-26 | CUZ | OPERADOR TRADICIONALES | SERVICIO DE OPERACION POR DIA 14PAX ADT_E(14)  = 35.00  </t>
  </si>
  <si>
    <t>010022394</t>
  </si>
  <si>
    <t>19-Jul-26 | LIM | GUIA | 002312 - TRF APTO VUELO KL743 - HTL B BARRANCO 4PAX ADT_E(4)  = 32.00  22-Jul-26 | LIM | GUIA | 002313 - TTRF HTL B BARRANCO/APTO VUELO LA2037 4PAX ADT_E(4)  = 48.00  06-Ago-26 | LIM | GUIA | 002312 - TRF APTO VUELO LA2252 - HTL B</t>
  </si>
  <si>
    <t>010022627</t>
  </si>
  <si>
    <t>19-Jul-26 | LIM | GUIA ENG - ESP | 002313 - TRASLADO O ASISTENCIA DE NOCHE 18.01 A 07.00 HRS 2PAX ADT_E(2)  = 48.00  20-Jul-26 | LIM | GUIA ENG - ESP | 008871 - GUIADO FD GASTRONOMICO 10 HORAS 2PAX ADT_E(2)  = 160.00  21-Jul-26 | LIM | GUIA ENG - ESP | 00</t>
  </si>
  <si>
    <t>RIGAL LIMOUSINE CUSCO</t>
  </si>
  <si>
    <t>010022718</t>
  </si>
  <si>
    <t>28-Jul-26 | CUZ | TRANSPORTE LUJO | 006822 - TRF APTO  - HTL CUS OW O V.V. MALETERO INC 2PAX ADT_E(2)  = 118.00  01-Ago-26 | CUZ | TRANSPORTE LUJO | 010305 - TRF HTL CUS - EST POROY OW O V.V. 2PAX ADT_E(2)  = 165.20  02-Ago-26 | CUZ | TRANSPORTE LUJO | 01</t>
  </si>
  <si>
    <t>010022719</t>
  </si>
  <si>
    <t>28-Jul-26 | CUZ | TRANSPORTE LUJO | 010490 - BOTELLA DE AGUA FONTEVITA  350 ML ENVASE DE VIDRIO -  (Copia X Modificar) 2PAX ADT_E(2)  = 4.72  01-Ago-26 | CUZ | TRANSPORTE LUJO | 010490 - BOTELLA DE AGUA FONTEVITA  350 ML ENVASE DE VIDRIO -  (Copia X Modif</t>
  </si>
  <si>
    <t>010022717</t>
  </si>
  <si>
    <t>19-Jul-26 | LIM | TRANSPORTE LUJO | 009748 - TRF APTO - HTL OW O V.V MALETERO INC. - 2 HRS 2PAX ADT_E(2)  = 141.60  20-Jul-26 | LIM | TRANSPORTE LUJO | 010898 - TRF FD GASTRONOMICO - 10 HRS. 2PAX ADT_E(2)  = 767.00  21-Jul-26 | LIM | TRANSPORTE LUJO | 009</t>
  </si>
  <si>
    <t>010022813</t>
  </si>
  <si>
    <t xml:space="preserve">30-Jul-26 | CUZ | TRASLADISTA | TRF APTO - AWANACHANCHA - MARTINA WASI PISAC | ARRIBA EN VUELO CHARTER (N12NU) 9PAX ADT_E(9)  = 25.00  04-Ago-26 | CUZ | TRASLADISTA | MARTINA WASI - APTO CHARTER PRIVADO SALE 13:30 | CHARTER N12NU 9PAX ADT_E(9)  = 25.00  </t>
  </si>
  <si>
    <t>010022926</t>
  </si>
  <si>
    <t xml:space="preserve">05-Ago-26 | CUZ | TRASLADISTA | HTL KURI WASI 2 - APTO | SALIDA LA2129 A LAS 10:05 6PAX ADT_E(6)  = 25.00  </t>
  </si>
  <si>
    <t>010022936</t>
  </si>
  <si>
    <t xml:space="preserve">01-Ago-26 | CUZ | GUIA ENG - ESP | VIATICO DE ALIMENTACIÓN - ALMUERZO 14PAX ADT_E(14)  = 12.00  01-Ago-26 | CUZ | GUIA ENG - ESP | MARTINA WASI - EST.OLLANTA - FD MAPI - EST. OLLANTA - MARTINA WASI 14PAX ADT_E(14)  = 118.00  </t>
  </si>
  <si>
    <t>010022921</t>
  </si>
  <si>
    <t xml:space="preserve">03-Set-26 | MAP | RESTAURANTES | 004613 - INDIO FELIZ: ALMUERZO O CENA A LA CARTA 6PAX ADT_E(6)  = 210.00  </t>
  </si>
  <si>
    <t>010022949</t>
  </si>
  <si>
    <t xml:space="preserve">25-Ago-26 | LIM | TRANSPORTE SUPERIOR | 003265 - TRF IN APTO LA2457 - HTL LOS GIRASOLES 4PAX ADT_E(4)  = 64.90  26-Ago-26 | LIM | TRANSPORTE TURISTICO | 008816 - FD 10 HRS: MERCADO SURQUILLO - UKAW - CALA - CENTRO DE LIMA 4PAX ADT_E(4)  = 177.00  </t>
  </si>
  <si>
    <t>010022818</t>
  </si>
  <si>
    <t xml:space="preserve">21-Ago-26 | VAL | PACHAMANCA | LUNCH PACHAMANCA ALBERGUE OLLANTAYTAMBO 2PAX ADT_E(2)  = 114.00  </t>
  </si>
  <si>
    <t>ARENNAS MANCORA</t>
  </si>
  <si>
    <t>010022862</t>
  </si>
  <si>
    <t>27-Ago-26 | MAN |  | DELUXE OCEAN VIEW MATRIMONIAL (64 m²) 2PAX ADT_E(2)  = 324.50  28-Ago-26 | MAN |  | DELUXE OCEAN VIEW MATRIMONIAL (64 m²) 2PAX ADT_E(2)  = 324.50  29-Ago-26 | MAN |  | DELUXE OCEAN VIEW MATRIMONIAL (64 m²) 2PAX ADT_E(2)  = 324.50  30-</t>
  </si>
  <si>
    <t>010022822</t>
  </si>
  <si>
    <t xml:space="preserve">22-Ago-26 | VAL | OPERADOR AVENTURA | HTL CA PREMIUM VALLE - FD BIKING MARAS - MORAY DISCOVERY - 7 HRS BICI MECANICA - HTL 2PAX ADT_E(2)  = 387.23  </t>
  </si>
  <si>
    <t>261000003</t>
  </si>
  <si>
    <t>TITICACA TRAIN</t>
  </si>
  <si>
    <t xml:space="preserve">16-Oct-26 | CUZ | TREN | 006953 - TITICACA TRAIN 20: CUSCO 07:50 - PUNO 18:20 2PAX ADT_E(2)  = 612.50  </t>
  </si>
  <si>
    <t>261000006</t>
  </si>
  <si>
    <t xml:space="preserve">12-Oct-26 | PUN | TREN | 006954 - TITICACA TRAIN 19: PUNO 07:30 - CUSCO 17:50 2PAX ADT_E(2)  = 612.50  </t>
  </si>
  <si>
    <t>010022357</t>
  </si>
  <si>
    <t xml:space="preserve">29-Jul-26 | ICA | OPERADOR AVENTURA | 011024 - BUGANVILLA: BRINDIS EXPRESS EN UTV PVT - 60 MIN + GUIA FERIADO 4PAX ADT_E(4)  = 500.32  </t>
  </si>
  <si>
    <t>010022900</t>
  </si>
  <si>
    <t xml:space="preserve">10-Ago-26 | LIM | GUIA ENG - ESP | 008871 - FD 10 HRS: BARRANCO - UKAW - JADE RIVERA - HELADO BLUE - CENTRO DE LIMA -  MUSEO LARCO 3PAX ADT_E(3)  = 160.00  </t>
  </si>
  <si>
    <t>010022899</t>
  </si>
  <si>
    <t xml:space="preserve">09-Ago-26 | LIM | GUIA ENG - ESP | 002313 - TRASLADO APTO LA2415 - HTL REAL INTERCONTINENTAL 3PAX ADT_E(3)  = 32.00  11-Ago-26 | LIM | GUIA ENG - ESP | 002312 - TRASLADO HTL REAL INTERCONTINENTAL - APTO LA2260 3PAX ADT_E(3)  = 32.00  </t>
  </si>
  <si>
    <t>010022903</t>
  </si>
  <si>
    <t>010022492</t>
  </si>
  <si>
    <t xml:space="preserve">25-Jul-26 | AQP | OPERADOR TRADICIONALES | 003927 - TRF ESTACION DE TREN/ HTL PALACIO GUAQUI 3PAX ADT_E(3)  = 36.00  26-Jul-26 | AQP | OPERADOR TRADICIONALES | 003927 - TRF HTL PALACIO GUAQUI/ APTO  LA2108 3PAX ADT_E(3)  = 36.00  </t>
  </si>
  <si>
    <t>010022877</t>
  </si>
  <si>
    <t>09-Ago-26 | LIM | TRASLADISTA | 002369 - VIATICOS DE MOVILIDAD NOCTURNO CASA - APTO OW O V.V - (18.01 A 07:00 HRS.) 3PAX ADT_E(3)  = 18.00  11-Ago-26 | LIM | TRASLADISTA | 011018 - VIATICOS DE MOVILIDAD DIURNO CASA - APTO OW O V.V - (07:01 A 18:00 HRS.) 3</t>
  </si>
  <si>
    <t>010022690</t>
  </si>
  <si>
    <t>010022890</t>
  </si>
  <si>
    <t xml:space="preserve">04-Ago-26 | CUZ | GUIA ENG - ESP | 001981 - ASISTENCIA APTO LA2359 - JR SICUANI H-2 CUSCO 5PAX ADT_E(5)  = 20.00  </t>
  </si>
  <si>
    <t>010022839</t>
  </si>
  <si>
    <t>26-Ago-26 | LIM | CULINARIO: OPE Y HTL | 008104 - MERCADO TOUR CULINARIO - FRUTAS - MERCADO 2 SURQUILLO 4PAX ADT_E(4)  = 25.00  26-Ago-26 | LIM | IGLESIAS Y MONASTERIOS | 002522 - ENTRADA SANTO DOMINGO 4PAX ADT_E(4)  = 60.00  26-Ago-26 | LIM | MUSEOS Y GA</t>
  </si>
  <si>
    <t>010022402</t>
  </si>
  <si>
    <t xml:space="preserve">01-Ago-26 | CUZ | OPERADOR TRADICIONALES | 008955 - SERVICIO DE OPERACION POR DIA 2PAX ADT_E(2)  = 35.00  02-Ago-26 | CUZ | OPERADOR TRADICIONALES | 008955 - SERVICIO DE OPERACION POR DIA 2PAX ADT_E(2)  = 35.00  03-Ago-26 | CUZ | OPERADOR TRADICIONALES | </t>
  </si>
  <si>
    <t>010022844</t>
  </si>
  <si>
    <t>29-Ago-26 | CUZ | ENTRADAS | 001902 - BOLETO INTEGRAL - BTCI  EXTRANJERO 6PAX ADT_E(6)  = 819.00  30-Ago-26 | CUZ | IGLESIAS Y MONASTERIOS | 001899 - ENTRADA CATEDRAL ADULTO EXTRANJERO 6PAX ADT_E(6)  = 252.00  30-Ago-26 | CUZ | IGLESIAS Y MONASTERIOS | 00</t>
  </si>
  <si>
    <t>260800001</t>
  </si>
  <si>
    <t>010022914</t>
  </si>
  <si>
    <t>28-Ago-26 | CUZ | ENTRADAS | BOLETO INTEGRAL - BTCI  EXTRANJERO 2PAX ADT_E(2)  = 273.00  31-Ago-26 | CUZ | IGLESIAS Y MONASTERIOS | ENTRADA KORICANCHA ADULTO EXTRANJERO 2PAX ADT_E(2)  = 42.00  31-Ago-26 | CUZ | MUSEOS Y GALERIAS | ENTRADA VOLUNTARIA TALLE</t>
  </si>
  <si>
    <t>010022942</t>
  </si>
  <si>
    <t xml:space="preserve">03-Set-26 | MAP | CENTROS ARQUEOLOGICOS | RUTA 3B O 3A SI CONSIGUEN DISPONIBILIDAD 6PAX ADT_E(6)  = 1260.00  </t>
  </si>
  <si>
    <t>010022843</t>
  </si>
  <si>
    <t>26-Ago-26 | LIM | CULINARIO: OPE Y HTL | 008399 - CALA: CLASE DEMO DE PISCO Y CEBICHE CON TASTING + PORCION DE CEVICHE 4PAX ADT_E(4)  = 479.00  26-Ago-26 | LIM | RESTAURANTES | 010523 - CALA: MENU TURISTICO ALMUERZO O CENA 4PAX ADT_E(4)  = 596.00  26-Ago-</t>
  </si>
  <si>
    <t>CIRQA - RELAIS ET CHATEAUX (BREAKFAST - DINNER)</t>
  </si>
  <si>
    <t>010022792</t>
  </si>
  <si>
    <t xml:space="preserve">05-Oct-26 | AQP |  | BOVEDA (44.8 m²) 2PAX ADT_E(2)  = 694.10  06-Oct-26 | AQP |  | BOVEDA (44.8 m²) 2PAX ADT_E(2)  = 694.10  </t>
  </si>
  <si>
    <t>010022913</t>
  </si>
  <si>
    <t xml:space="preserve">29-Ago-26 | CUZ | OPERADOR AVENTURA | HTL CA PREMIUM VALLE - FD BIKING MARAS - MORAY DISCOVERY - 8 HRS BICI MECANICA - SIN LUNCH - HTL 2PAX ADT_E(2)  = 387.23  </t>
  </si>
  <si>
    <t>LAS MANOS COCINA DE CULTO</t>
  </si>
  <si>
    <t>010022915</t>
  </si>
  <si>
    <t xml:space="preserve">29-Ago-26 | VAL | RESTAURANTES | LAS MANOS: ALMUERZO DE 3 TIEMPOS - CARTA 2PAX ADT_E(2)  = 70.00  </t>
  </si>
  <si>
    <t>010022939</t>
  </si>
  <si>
    <t xml:space="preserve">26-Ago-26 | LIM | CATA DE CAFE Y/O CHOCOLATE | 010183 - UKAW: CATA DE CAFE Y CHOCOLATE PVT 4PAX ADT_E(4)  = 140.00  </t>
  </si>
  <si>
    <t>010022790</t>
  </si>
  <si>
    <t xml:space="preserve">12-Oct-26 | VAL |  | DELUXE CASITA (109 m2) 2PAX ADT_E(2)  = 806.00  13-Oct-26 | VAL |  | DELUXE CASITA (109 m2) 2PAX ADT_E(2)  = 806.00  14-Oct-26 | VAL |  | DELUXE CASITA (109 m2) 2PAX ADT_E(2)  = 806.00  </t>
  </si>
  <si>
    <t>010022889</t>
  </si>
  <si>
    <t xml:space="preserve">12-Ago-26 | CUZ | TRANSPORTE TURISTICO | 002058 - TRF JR SICUANI H-2 CUSCO - EST. WANCHAQ 6PAX ADT_E(6)  = 22.00  </t>
  </si>
  <si>
    <t>010022876</t>
  </si>
  <si>
    <t xml:space="preserve">13-Ago-26 | CUZ | GUIA ENG - ESP | 001988 - VIATICOS DE MOVILIDAD CUS - HTL VALLE OW O V.V. 3PAX ADT_E(3)  = 5.00  15-Ago-26 | CUZ | GUIA ENG - ESP | 001988 - VIATICOS DE MOVILIDAD CUS - HTL VALLE OW O V.V. 3PAX ADT_E(3)  = 10.00  </t>
  </si>
  <si>
    <t>010022888</t>
  </si>
  <si>
    <t xml:space="preserve">04-Ago-26 | CUZ | TRANSPORTE TURISTICO | 002058 - TRF APT IN APTO LA2359 - JR SICUANI H-2 CUSCO 5PAX ADT_E(5)  = 25.00  </t>
  </si>
  <si>
    <t>010022901</t>
  </si>
  <si>
    <t xml:space="preserve">17-Ago-26 | CUZ | GUIA ENG - ESP | 001997 - CITY TOUR POR 4 HRS: SACSAYHUAMAN + SAN BLAS + SABINO HUAMAN + FAMILIA MENDIVIL 3PAX ADT_E(3)  = 60.00  </t>
  </si>
  <si>
    <t>010022897</t>
  </si>
  <si>
    <t>15-Ago-26 | MAP | GUIA ENG - ESP | 004197 - ASISTENCIA IN ESTACION AGUAS CALIENTES - HTL SUMAQ MACHU PICCHU 3PAX ADT_E(3)  = 7.00  15-Ago-26 | MAP | GUIA ENG - ESP | 004196 - GUIA MACHU PICCHU 3HRS - CON TRF IN + OUT 3PAX ADT_E(3)  = 80.00  16-Ago-26 | MA</t>
  </si>
  <si>
    <t>010022894</t>
  </si>
  <si>
    <t>13-Ago-26 | CUZ | TRANSPORTE SUPERIOR | 010187 - TRF APTO LA2359 - HTL ANDENIA BOUTIQUE VALLE 3PAX ADT_E(3)  = 100.00  13-Ago-26 | CUZ | TRANSPORTE SUPERIOR | 010479 - BOTELLA DE AGUA FONTEVITA 350 ML ENVASE DE VIDRIO 3PAX ADT_E(3)  = 4.50  14-Ago-26 | VA</t>
  </si>
  <si>
    <t>010022895</t>
  </si>
  <si>
    <t>010022892</t>
  </si>
  <si>
    <t xml:space="preserve">04-Ago-26 | CUZ | OPERADOR TRADICIONALES | 010090 - SERVICIO DE OPERACIÓN HALF DAY| 5PAX ADT_E(5)  = 17.50  </t>
  </si>
  <si>
    <t>010022893</t>
  </si>
  <si>
    <t xml:space="preserve">12-Ago-26 | CUZ | OPERADOR TRADICIONALES | 010090 - SERVICIO DE OPERACIÓN HALF DAY| 6PAX ADT_E(6)  = 17.50  </t>
  </si>
  <si>
    <t>010022896</t>
  </si>
  <si>
    <t xml:space="preserve">13-Ago-26 | CUZ | OPERADOR TRADICIONALES | 008955 - SERVICIO DE OPERACION POR DIA 3PAX ADT_E(3)  = 35.00  14-Ago-26 | CUZ | OPERADOR TRADICIONALES | 008955 - SERVICIO DE OPERACION POR DIA 3PAX ADT_E(3)  = 35.00  15-Ago-26 | CUZ | OPERADOR TRADICIONALES | </t>
  </si>
  <si>
    <t>010022891</t>
  </si>
  <si>
    <t xml:space="preserve">12-Ago-26 | CUZ | GUIA ENG - ESP | 001981 - ASISTENCIA JR SICUANI H-2 CUSCO - EST. WANCHAQ 6PAX ADT_E(6)  = 20.00  </t>
  </si>
  <si>
    <t>010022904</t>
  </si>
  <si>
    <t>13-Ago-26 | CUZ | GUIA ENG - ESP | 008671 - ASISTENCIA APTO LA2359 - HTL ANDENIA BOUTIQUE VALLE 3PAX ADT_E(3)  = 25.00  15-Ago-26 | CUZ | GUIA ENG - ESP | 001981 - ASISTENCIA HTL ANDENIA VALLE - ESTACION OLLANTAYTAMBO 3PAX ADT_E(3)  = 25.00  16-Ago-26 | C</t>
  </si>
  <si>
    <t>010022898</t>
  </si>
  <si>
    <t xml:space="preserve">14-Ago-26 | CUZ | GUIA ENG - ESP | 001983 - GUIADO POR 8 HRS: HTL ANDENIA - OLLANTAYTAMBO - ALQA - PISAC RUINAS 3PAX ADT_E(3)  = 75.00  14-Ago-26 | CUZ | GUIA ENG - ESP | 001988 - VIATICOS DE MOVILIDAD CUS - HTL VALLE OW O V.V. 3PAX ADT_E(3)  = 15.00  </t>
  </si>
  <si>
    <t>010022613</t>
  </si>
  <si>
    <t>20-Ago-26 | CUZ | TRASLADISTA | 009863 - APTO - VALLE SAGRADO O V.V DE 06:01 A 19:59 2PAX ADT_E(2)  = 25.00  20-Ago-26 | CUZ | TRASLADISTA | 009955 - VIATICOS MOVILIDAD CUS - VALLE OW O V.V 2PAX ADT_E(2)  = 5.00  23-Ago-26 | CUZ | TRASLADISTA | 009883 - V</t>
  </si>
  <si>
    <t>PERU RAIL</t>
  </si>
  <si>
    <t>010022851</t>
  </si>
  <si>
    <t xml:space="preserve">15-Oct-26 | VAL | TREN | 008642 - VISTADOME OBSERVATORY 203: OLLANTA 10:32 - MAPI 12:11 OW 2PAX ADT_E(2)  = 232.74  16-Oct-26 | MAP | TREN | 009630 - VISTADOME OBSERVATORY 34: MAPI 15:20 - POROY 19:05 OW 2PAX ADT_E(2)  = 282.62  </t>
  </si>
  <si>
    <t>TITILAKA - RELAIS ET CHATEAUX (BREAKFAST - LUNCH - DINNER)</t>
  </si>
  <si>
    <t>010022789</t>
  </si>
  <si>
    <t>09-Oct-26 | PUN | LODGE | 009528 - EXPLORER DWB COMPARTIDO  ABR, SEP - DIC 2PAX ADT_E(2)  = 1288.80  10-Oct-26 | PUN | LODGE | 009528 - EXPLORER DWB COMPARTIDO  ABR, SEP - DIC 2PAX ADT_E(2)  = 1288.80  11-Oct-26 | PUN | LODGE | 009528 - EXPLORER DWB COMPA</t>
  </si>
  <si>
    <t>010022969</t>
  </si>
  <si>
    <t>11-Ago-26 | CUZ | OPERADOR TRADICIONALES | SERVICIO DE OPERACION POR DIA 2PAX ADT_E(2)  = 35.00  13-Ago-26 | CUZ | OPERADOR TRADICIONALES | SERVICIO DE OPERACION POR DIA 2PAX ADT_E(2)  = 35.00  14-Ago-26 | CUZ | OPERADOR TRADICIONALES | SERVICIO DE OPERAC</t>
  </si>
  <si>
    <t>010022964</t>
  </si>
  <si>
    <t xml:space="preserve">29-Ago-26 | LIM | TRANSPORTE TURISTICO | 005496 - TRF APTO VUELO UA854 - HTL  GIRASOLES OW O V.V MALETERO INC. - 2HRS 2PAX ADT_E(2)  = 33.04  30-Ago-26 | LIM | TRANSPORTE TURISTICO | HTL GIRASOLES - APTO VUELO LA2232 2PAX ADT_E(2)  = 33.04  </t>
  </si>
  <si>
    <t>QUINTA SAN BLAS BY ANANAY HOTELS</t>
  </si>
  <si>
    <t>010022510</t>
  </si>
  <si>
    <t xml:space="preserve">24-Ago-26 | CUZ |  | DELUXE MATRIMONIAL ROOMS 2PAX ADT_E(2)  = 116.00  25-Ago-26 | CUZ |  | DELUXE MATRIMONIAL ROOMS 2PAX ADT_E(2)  = 116.00  26-Ago-26 | CUZ |  | DELUXE MATRIMONIAL ROOMS 2PAX ADT_E(2)  = 116.00  </t>
  </si>
  <si>
    <t>260900005</t>
  </si>
  <si>
    <t>INCA RAIL</t>
  </si>
  <si>
    <t>010021999</t>
  </si>
  <si>
    <t xml:space="preserve">27-Set-26 | VAL | TREN | 006985 - THE FIRST CLASS 43 - OLLANTA 11:15 - MAPI 12:40 OW 2PAX ADT_E(2)  = 614.00  </t>
  </si>
  <si>
    <t>261000002</t>
  </si>
  <si>
    <t>010021246</t>
  </si>
  <si>
    <t>19-Oct-26 | CUZ | TREN | 008675 - VISTADOME OBSERVATORY 203: POROY 08:25 - MAPI 12:11 OW - GUIA 2PAX ADT_E(2)  = 259.00  19-Oct-26 | CUZ | TREN | 008716 - VISTADOME OBSERVATORY 203 POROY 08:25 - MAPI 12:11 OW 2PAX ADT_E(2)  = 323.76  19-Oct-26 | MAP | TRE</t>
  </si>
  <si>
    <t>TORRES HUAMANGA BENANCIA</t>
  </si>
  <si>
    <t>010022912</t>
  </si>
  <si>
    <t xml:space="preserve">08-Set-26 | CUZ | OPERADOR TRADICIONALES | HTL ANTIGUA - FD VINICUNCA PVT INC. CABALLO OW - RUTA CUSIPATA - HTL 2PAX ADT_E(2)  = 507.40  </t>
  </si>
  <si>
    <t>010022819</t>
  </si>
  <si>
    <t xml:space="preserve">10-Ago-26 | LIM | TRASLADISTA | TRF APTO - HTL VILLA BARRANCO | LLEGA EN VUELO KL 743 AMSLIM 2PAX ADT_E(2)  = 29.00  01-Set-26 | LIM | TRASLADISTA | APTO - HTL VILLA BARRANCO | LLEGAN EN VUELO LA2254 TYLLIM A LAS 15:10 2PAX ADT_E(2)  = 29.00  02-Set-26 | </t>
  </si>
  <si>
    <t>VILLA BARRANCO BY ANANAY HOTELS</t>
  </si>
  <si>
    <t>010021413</t>
  </si>
  <si>
    <t xml:space="preserve">10-Ago-26 | LIM |  | JUNIOR SUITE (50 m2) WITH A KING BED 2PAX ADT_E(2)  = 318.00  11-Ago-26 | LIM |  | JUNIOR SUITE (50 m2)  WITH A KING BED 2PAX ADT_E(2)  = 318.00  01-Set-26 | LIM |  | JUNIOR SUITE (50 m2) WITH A KING BED 2PAX ADT_E(2)  = 318.00  </t>
  </si>
  <si>
    <t>BELMOND LAS CASITAS - TARIFA DINAMICA</t>
  </si>
  <si>
    <t>010022785</t>
  </si>
  <si>
    <t xml:space="preserve">07-Oct-26 | COL |  | CASITA WITH VALLEY VIEW  (120m²/1,292fT) 2PAX ADT_E(2)  = 649.00  08-Oct-26 | COL |  | CASITA WITH VALLEY VIEW  (120m²/1,292fT) 2PAX ADT_E(2)  = 649.00  </t>
  </si>
  <si>
    <t>INKATERRA MACHU PICCHU PUEBLO HOTEL (BREAKFAST - DINNER)</t>
  </si>
  <si>
    <t>010022791</t>
  </si>
  <si>
    <t xml:space="preserve">15-Oct-26 | MAP |  | SUPERIOR DELUXE (39 m2) 2PAX ADT_E(2)  = 443.55  </t>
  </si>
  <si>
    <t>010022852</t>
  </si>
  <si>
    <t>010022794</t>
  </si>
  <si>
    <t>010022953</t>
  </si>
  <si>
    <t xml:space="preserve">29-Ago-26 | CUZ | TRANSPORTE TURISTICO | 002058 - TRF IN APTO LA 2359 - HTL RUMIPUNKU 6PAX ADT_E(6)  = 22.00  06-Set-26 | CUZ | TRANSPORTE TURISTICO | 002058 - TRF OUT HTL RUMIPUNKU - APTO LA2121 6PAX ADT_E(6)  = 22.00  </t>
  </si>
  <si>
    <t>010022954</t>
  </si>
  <si>
    <t xml:space="preserve">29-Ago-26 | CUZ | TRANSPORTE TURISTICO | 008389 - BOTELLA DE FONTEVITA 350 ML ENVASE DE VIDRIO 6PAX ADT_E(6)  = 8.40  </t>
  </si>
  <si>
    <t>010022955</t>
  </si>
  <si>
    <t xml:space="preserve">30-Ago-26 | CUZ | TRANSPORTE TURISTICO | 004558 - TRF HD COMBINADA (CITY + RUINAS) - 4 HRS. 6PAX ADT_E(6)  = 75.00  </t>
  </si>
  <si>
    <t>010022956</t>
  </si>
  <si>
    <t xml:space="preserve">30-Ago-26 | CUZ | TRANSPORTE SUPERIOR | 010479 - BOTELLA DE AGUA FONTEVITA 350 ML ENVASE DE VIDRIO 6PAX ADT_E(6)  = 8.40  </t>
  </si>
  <si>
    <t>010022957</t>
  </si>
  <si>
    <t xml:space="preserve">30-Ago-26 | CUZ | TRANSPORTE TURISTICO | TRANSFER APTO VUELO LA2232 - HTL RUMIPUNKU 2PAX ADT_E(2)  = 15.00  </t>
  </si>
  <si>
    <t>010022958</t>
  </si>
  <si>
    <t xml:space="preserve">30-Ago-26 | CUZ | TRANSPORTE TURISTICO | 008389 - BOTELLA DE FONTEVITA 350 ML ENVASE DE VIDRIO 2PAX ADT_E(2)  = 2.80  </t>
  </si>
  <si>
    <t>GUIA ING RENATO VERA</t>
  </si>
  <si>
    <t>010022951</t>
  </si>
  <si>
    <t xml:space="preserve">30-Ago-26 | CUZ | GUIA ENG - ESP | 001997 - CITY TOUR + RUINAS POR 4 HRS 6PAX ADT_E(6)  = 60.00  </t>
  </si>
  <si>
    <t>010022943</t>
  </si>
  <si>
    <t xml:space="preserve">30-Ago-26 | CUZ | OPERADOR TRADICIONALES | 008955 - SERVICIO DE OPERACION POR DIA 2PAX ADT_E(2)  = 35.00  </t>
  </si>
  <si>
    <t>010022959</t>
  </si>
  <si>
    <t xml:space="preserve">26-Ago-26 | LIM | GUIA ENG - ESP | 008871 - FD GASTRONOMICO 10 HORAS: MERCADO SURQUILLO - UKAW - CALA - CENTRO DE LIMA 4PAX ADT_E(4)  = 160.00  </t>
  </si>
  <si>
    <t>010022950</t>
  </si>
  <si>
    <t xml:space="preserve">25-Ago-26 | LIM | TRASLADISTA | 002369 - VIATICOS DE MOVILIDAD NOCTURNO 4PAX ADT_E(4)  = 18.00  27-Ago-26 | LIM | TRASLADISTA | 011018 - VIATICOS DE MOVILIDAD DIURNO 4PAX ADT_E(4)  = 8.00  </t>
  </si>
  <si>
    <t>010022960</t>
  </si>
  <si>
    <t xml:space="preserve">27-Ago-26 | LIM | GUIA ENG - ESP | 002312 - TRASLADO HTL LOS GIRASOLES - APTO LA2060 4PAX ADT_E(4)  = 32.00  </t>
  </si>
  <si>
    <t>010022961</t>
  </si>
  <si>
    <t xml:space="preserve">29-Ago-26 | LIM | GUIA ENG - ESP | 002313 - TRASLADO O ASISTENCIA DE NOCHE VUELO UA854 - 23:00 2PAX ADT_E(2)  = 72.00  </t>
  </si>
  <si>
    <t>010022962</t>
  </si>
  <si>
    <t xml:space="preserve">30-Ago-26 | LIM | GUIA ENG - ESP | TRASLADO HTL GIRASOLES - APT LIMA VUELO LA2232 2PAX ADT_E(2)  = 64.00  </t>
  </si>
  <si>
    <t>010022965</t>
  </si>
  <si>
    <t xml:space="preserve">27-Ago-26 | LIM | TRANSPORTE TURISTICO | 005496 - TRF OUT HTL LOS GIRASOLES - APTO LA2060 4PAX ADT_E(4)  = 35.40  </t>
  </si>
  <si>
    <t>010022966</t>
  </si>
  <si>
    <t xml:space="preserve">25-Ago-26 | LIM | TRASLADISTA | 001448 - TRASLADO APTO LA2457 - HTL LOS GIRASOLES 4PAX ADT_E(4)  = 23.00  </t>
  </si>
  <si>
    <t>010022967</t>
  </si>
  <si>
    <t xml:space="preserve">06-Set-26 | LIM | TRASLADISTA | ASISTENCIA APT - VUELO LA2121 6PAX ADT_E(6)  = 25.00  </t>
  </si>
  <si>
    <t>010022948</t>
  </si>
  <si>
    <t>010022963</t>
  </si>
  <si>
    <t>010022946</t>
  </si>
  <si>
    <t xml:space="preserve">29-Ago-26 | CUZ | TRASLADISTA | 009860 - APTO  APTO LA 2359 - HTL RUMIPUNKU 6PAX ADT_E(6)  = 8.00  06-Set-26 | CUZ | TRASLADISTA | HTL RUMIPUNKU - APT VUELO LA2121 6PAX ADT_E(6)  = 8.00  </t>
  </si>
  <si>
    <t>010022952</t>
  </si>
  <si>
    <t xml:space="preserve">30-Ago-26 | CUZ | GUIA ENG - ESP | 001981 - ASISTENCIA APTO LA2232 / HOTEL RUMIPUMKU 2PAX ADT_E(2)  = 20.00  </t>
  </si>
  <si>
    <t>TUCANO LIMA</t>
  </si>
  <si>
    <t>010022944</t>
  </si>
  <si>
    <t xml:space="preserve">29-Ago-26 | LIM | AGUA Y SNACKS | 008061 - 01 UNIDAD DE BOTELLA DE AGUA 2PAX ADT_E(2)  = 2.00  30-Ago-26 | LIM | AGUA Y SNACKS | 008061 - 01 UNIDAD DE BOTELLA DE AGUA 2PAX ADT_E(2)  = 2.00  </t>
  </si>
  <si>
    <t>010022947</t>
  </si>
  <si>
    <t xml:space="preserve">25-Ago-26 | LIM | AGUA Y SNACKS | 008061 - 01 UNIDAD DE BOTELLA DE AGUA 4PAX ADT_E(4)  = 4.00  26-Ago-26 | LIM | AGUA Y SNACKS | 008065 - 02 UNIDAD DE BOTELLA DE AGUA + SNACKS TURISTA 4PAX ADT_E(4)  = 20.00  </t>
  </si>
  <si>
    <t>010022647</t>
  </si>
  <si>
    <t xml:space="preserve">27-Ago-26 | VAL |  | SUITE MATRIMONIAL 2PAX ADT_E(2)  = 149.60  28-Ago-26 | VAL |  | SUITE MATRIMONIAL 2PAX ADT_E(2)  = 149.60  29-Ago-26 | VAL |  | SUITE MATRIMONIAL     2PAX ADT_E(2)  = 149.60  </t>
  </si>
  <si>
    <t>010022204</t>
  </si>
  <si>
    <t>010022927</t>
  </si>
  <si>
    <t xml:space="preserve">29-Ago-26 | CUZ | OPERADOR TRADICIONALES | 008955 - SERVICIO DE OPERACION POR DIA 6PAX ADT_E(6)  = 35.00  30-Ago-26 | CUZ | OPERADOR TRADICIONALES | 008955 - SERVICIO DE OPERACION POR DIA 6PAX ADT_E(6)  = 35.00  31-Ago-26 | CUZ | OPERADOR TRADICIONALES | </t>
  </si>
  <si>
    <t>010021247</t>
  </si>
  <si>
    <t>TAMBOPATA RESEARCH CENTER (TRC) -RAINFOREST EXPEDITIONS</t>
  </si>
  <si>
    <t>010022788</t>
  </si>
  <si>
    <t>19-Oct-26 | PEM | LODGE | 001551 - TAMBOPATA RESEARCH CENTER 4D/3N SUITE DELUXE DOUBLE ROOM 2PAX ADT_E(2)  = 3030.00  20-Oct-26 | PEM | LODGE | 001551 - TAMBOPATA RESEARCH CENTER 4D/3N SUITE DELUXE DOUBLE ROOM 2PAX ADT_E(2)  = 0.00  21-Oct-26 | PEM | LODG</t>
  </si>
  <si>
    <t>010022945</t>
  </si>
  <si>
    <t xml:space="preserve">27-Ago-26 | LIM | AGUA Y SNACKS | 008061 - 01 UNIDAD DE BOTELLA DE AGUA 4PAX ADT_E(4)  = 4.00  </t>
  </si>
  <si>
    <t>CASA CARTAGENA</t>
  </si>
  <si>
    <t>010022786</t>
  </si>
  <si>
    <t xml:space="preserve">16-Oct-26 | CUZ |  | LP PRESIDENTIAL SUITE (120 m²) 2PAX ADT_E(2)  = 910.80  17-Oct-26 | CUZ |  | LP PRESIDENTIAL SUITE (120 m²) 2PAX ADT_E(2)  = 910.80  18-Oct-26 | CUZ |  | LP PRESIDENTIAL SUITE (120 m²) 2PAX ADT_E(2)  = 910.80  22-Oct-26 | CUZ |  | LP </t>
  </si>
  <si>
    <t>HUMANO HOTEL</t>
  </si>
  <si>
    <t>010022787</t>
  </si>
  <si>
    <t xml:space="preserve">03-Oct-26 | LIM |  | SUPERIOR (24-25 m²) 2PAX ADT_E(2)  = 126.50  04-Oct-26 | LIM |  | SUPERIOR (24-25 m²) 2PAX ADT_E(2)  = 126.50  </t>
  </si>
  <si>
    <t>PAGADO</t>
  </si>
  <si>
    <t>Pendiente envío de factura</t>
  </si>
  <si>
    <t>SE PAGÓ ADELANTO, DEBE ENVIAR FACTURA</t>
  </si>
  <si>
    <t>PROVEEDOR TRABAJA CON CRÉDITO, CONSULTAR ARACELI</t>
  </si>
  <si>
    <t>010022986</t>
  </si>
  <si>
    <t xml:space="preserve">05-Ago-26 | CUZ | OPERADOR TRADICIONALES | TAXI DE EMERGENCIA POROY - HTL 2PAX ADT_E(2)  = 40.00  </t>
  </si>
  <si>
    <t>010022987</t>
  </si>
  <si>
    <t>21-Ago-26 | CUZ | ENTRADAS | BOLETO INTEGRAL - BTCI  EXTRANJERO 2PAX ADT_E(2)  = 273.00  25-Ago-26 | CUZ | IGLESIAS Y MONASTERIOS | ENTRADA CATEDRAL ADULTO EXTRANJERO 2PAX ADT_E(2)  = 84.00  25-Ago-26 | CUZ | IGLESIAS Y MONASTERIOS | ENTRADA KORICANCHA AD</t>
  </si>
  <si>
    <t>010022988</t>
  </si>
  <si>
    <t xml:space="preserve">24-Ago-26 | MAP | RUTAS TURISTICAS EN BUS | BUS CONSETTUR ADULTO EXTRANJERO RT 2PAX ADT_E(2)  = 50.40  </t>
  </si>
  <si>
    <t>010022982</t>
  </si>
  <si>
    <t xml:space="preserve">16-Ago-26 | PRC | ENTRADAS | 004583 - RESERVA NACIONAL DE PARACAS 6PAX ADT_E(6)  = 66.00  </t>
  </si>
  <si>
    <t>010022978</t>
  </si>
  <si>
    <t>06-Ago-26 | LIM | AGUA Y SNACKS | 01 UNIDAD DE BOTELLA DE AGUA 2PAX ADT_E(2)  = 2.00  06-Ago-26 | LIM | AGUA Y SNACKS | 01 UNIDAD DE BOTELLA DE AGUA 2PAX ADT_E(2)  = 2.00  07-Ago-26 | LIM | AGUA Y SNACKS | 01 UNIDAD DE BOTELLA DE AGUA 2PAX ADT_E(2)  = 2.0</t>
  </si>
  <si>
    <t>010022991</t>
  </si>
  <si>
    <t xml:space="preserve">22-Ago-26 | VAL | RESTAURANTES | LAS MANOS: ALMUERZO DE 3 TIEMPOS - CARTA 2PAX ADT_E(2)  = 70.00  </t>
  </si>
  <si>
    <t>010022981</t>
  </si>
  <si>
    <t xml:space="preserve">14-Ago-26 | PUN | BOX LUNCH | 008042 - CAP PUNO: BOX LUNCH OPCION 4 6PAX ADT_E(6)  = 97.92  </t>
  </si>
  <si>
    <t>COLITUR - CUSCO</t>
  </si>
  <si>
    <t>010022979</t>
  </si>
  <si>
    <t xml:space="preserve">17-Ago-26 | MAP | GUIA ENG - ESP | GUIADO MACHU PICCHU + WAYNA PICCHU - 5HRS 2PAX ADT_E(2)  = 160.00  </t>
  </si>
  <si>
    <t>010022993</t>
  </si>
  <si>
    <t>14-Ago-26 | AQP | OPERADOR TRADICIONALES | 02 BOTELLA DE AGUA 2PAX ADT_E(2)  = 2.00  14-Ago-26 | AQP | OPERADOR TRADICIONALES | APTO - HTL KATARI | LLEGA EN VUELO  LA2330 LIM/AQP 2PAX ADT_E(2)  = 33.80  15-Ago-26 | AQP | OPERADOR TRADICIONALES | ADICIONAL</t>
  </si>
  <si>
    <t>010022992</t>
  </si>
  <si>
    <t xml:space="preserve">23-Ago-26 | MAP | GUIA ENG - ESP | ASISTENCIA ESTA TREN - HTL EL MAPI 2PAX ADT_E(2)  = 0.00  24-Ago-26 | MAP | GUIA ENG - ESP | GUIA MACHU PICCHU 3HRS - CON TRF IN + OUT | CIRCUITO 2A 2PAX ADT_E(2)  = 80.00  </t>
  </si>
  <si>
    <t>010022989</t>
  </si>
  <si>
    <t>19-Ago-26 | PUN | AGUA Y SNACKS | 02 UNIDAD DE BOTELLA DE AGUA 2PAX ADT_E(2)  = 4.00  19-Ago-26 | PUN | OPERADOR TRADICIONALES | HTL GHL - FD UROS TAQUILE SPEED BOAT SIC + ALMUERZO + PVT GUIDE - HTL GHL 2PAX ADT_E(2)  = 187.62  20-Ago-26 | PUN | TRANSPORT</t>
  </si>
  <si>
    <t>010022990</t>
  </si>
  <si>
    <t>20-Ago-26 | CUZ | OPERADOR TRADICIONALES | SERVICIO DE OPERACIÓN HALF DAY 2PAX ADT_E(2)  = 17.50  21-Ago-26 | CUZ | OPERADOR TRADICIONALES | SERVICIO DE OPERACION POR DIA 2PAX ADT_E(2)  = 35.00  22-Ago-26 | CUZ | OPERADOR TRADICIONALES | SERVICIO DE OPERA</t>
  </si>
  <si>
    <t>No coincide factura ($643.1) con Sol de Pago</t>
  </si>
  <si>
    <t>Pendiente de pago RHE E1-538</t>
  </si>
  <si>
    <t>Pendiente de pago factura E1-757</t>
  </si>
  <si>
    <t>Pagado el 2/7/26 E1-124</t>
  </si>
  <si>
    <t>Factura pendiente de pago E1-1284 - Se dio adelanto de $5</t>
  </si>
  <si>
    <t>Pendiente de pago factura E1-1156</t>
  </si>
  <si>
    <t>Revisar factura E1-6498</t>
  </si>
  <si>
    <t>Sol de Pago no coincide con RHE E1- 545 ($225)</t>
  </si>
  <si>
    <t>Pendiente de pago factura E1-187</t>
  </si>
  <si>
    <t>Sol de Pago no coincide con RHE E1- 453 ($8.4)</t>
  </si>
  <si>
    <t>REVISAR</t>
  </si>
  <si>
    <t>ANULAR SP</t>
  </si>
  <si>
    <t>E001-447 EMITIDO POR $133</t>
  </si>
  <si>
    <t>PEN</t>
  </si>
  <si>
    <t>ALAS PERUANAS</t>
  </si>
  <si>
    <t>010022995</t>
  </si>
  <si>
    <t xml:space="preserve">13-Ago-26 | PIO | SOBREVUELOS | ALAS PERUANAS: SOBREVUELO LINEAS DE NAZCA DESDE PISCO 1 H 40 MIN - INC. IMP 2PAX ADT_E(2)  = 700.00  </t>
  </si>
  <si>
    <t>RESERVA AMAZONICA INKATERRA</t>
  </si>
  <si>
    <t>010022994</t>
  </si>
  <si>
    <t>27-Ago-26 | PEM | LODGE | 001473 - RESERVA AMAZONICA 3D/2N SUPERIOR DOUBLE ROOM 4PAX ADT_E(4)  = 1684.76  28-Ago-26 | PEM | LODGE | 001473 - RESERVA AMAZONICA 3D/2N SUPERIOR DOUBLE ROOM 4PAX ADT_E(4)  = 0.00  29-Ago-26 | PEM | LODGE | 001473 - RESERVA AMA</t>
  </si>
  <si>
    <t>010023020</t>
  </si>
  <si>
    <t xml:space="preserve">16-Jul-26 | PUN | OPERADOR TRADICIONALES | ANULACION CON PENALIDAD 2PAX ADT_E(2)  = 171.30  </t>
  </si>
  <si>
    <t>010023005</t>
  </si>
  <si>
    <t>12-Ago-26 | PUN | TRANSPORTE TURISTICO | 001924 - TRF EST. TREN PERU RAIL - HTL CASA ANDINA PREMIUM PUNO CON GUIA 6PAX ADT_E(6)  = 55.92  13-Ago-26 | PUN | OPERADOR TRADICIONALES | 008132 - ARCOBALENO: FD UROS TAQUILE SPEED BOAT SIC + ALMUERZO + PVT GUIDE</t>
  </si>
  <si>
    <t>010023016</t>
  </si>
  <si>
    <t xml:space="preserve">12-Jun-26 | CUZ | TRANSPORTE SUPERIOR | Traslado Apto / Hotel Rumipunku Cusco Vuelo LA2007 4PAX ADT_E(4)  = 20.00  19-Jun-26 | CUZ | TRANSPORTE SUPERIOR | Traslado Hotel Rumipunku / Apto Vuelo LA2078 4PAX ADT_E(4)  = 26.00  </t>
  </si>
  <si>
    <t>010022997</t>
  </si>
  <si>
    <t xml:space="preserve">07-Jul-26 | CUZ | GUIA ENG - ESP | FULL DAY CHINCHEROS: MARAS AND MORAY 8 HRS /HTL IORANA 3PAX ADT_E(3)  = 75.00  </t>
  </si>
  <si>
    <t>010023002</t>
  </si>
  <si>
    <t>010023003</t>
  </si>
  <si>
    <t>04-Jul-26 | CUZ | TRANSPORTE SUPERIOR | SARAPAMPA + TIEMPO DE ESPERA 2PAX ADT_E(2)  = 35.84  04-Jul-26 | CUZ | TRANSPORTE SUPERIOR | 010187 - TRF APTO VUELO 2266- VALLE HTL RIO SAGRADO 2PAX ADT_E(2)  = 150.00  04-Jul-26 | CUZ | TRANSPORTE SUPERIOR | 01047</t>
  </si>
  <si>
    <t>010023004</t>
  </si>
  <si>
    <t>010023007</t>
  </si>
  <si>
    <t xml:space="preserve">19-Jun-26 | CUZ | REGALOS | 06 BOLSAS ARTESANALES 6PAX ADT_E(6)  = 75.00  </t>
  </si>
  <si>
    <t>010023008</t>
  </si>
  <si>
    <t>010023009</t>
  </si>
  <si>
    <t xml:space="preserve">21-Jun-26 | CUZ | REGALOS | 02 BOLSAS ARTESANALES 2PAX ADT_E(2)  = 25.00  </t>
  </si>
  <si>
    <t>010023010</t>
  </si>
  <si>
    <t>010022996</t>
  </si>
  <si>
    <t xml:space="preserve">28-May-26 | LIM | GUIA ENG - ESP | MOVILIDAD NOCTURNO 2PAX ADT_E(2)  = 15.00  28-May-26 | LIM | GUIA ENG - ESP | HTL VILLA BARRANCO - BARRANCO - CALA - HUACA PUCLLANA - CENTRO DE LIMA - HTL 2PAX ADT_E(2)  = 174.00  </t>
  </si>
  <si>
    <t>010023017</t>
  </si>
  <si>
    <t xml:space="preserve">03-May-26 | AQP | OPERADOR TRADICIONALES | 02 BOTELLA DE AGUA 2PAX ADT_E(2)  = 2.00  03-May-26 | AQP | OPERADOR TRADICIONALES | TRANSFER APTO VUELO LA2330 - HTL PALLA BOUTIQUE 2PAX ADT_E(2)  = 33.80  04-May-26 | AQP | OPERADOR TRADICIONALES | CITY TOUR + </t>
  </si>
  <si>
    <t>010023018</t>
  </si>
  <si>
    <t xml:space="preserve">07-Jun-26 | AQP | OPERADOR TRADICIONALES | MULTA POR SER DÍA ELECTORAL (ELECCIONES NACIONALES) 2PAX ADT_E(2)  = 129.08  </t>
  </si>
  <si>
    <t>010023019</t>
  </si>
  <si>
    <t>14-Jul-26 | AQP | OPERADOR TRADICIONALES | 3D/2N AQP - COL- PUN PVT - HTL IN/OUT CHIVAY (SIN BTC) 2PAX ADT_E(2)  = 938.00  14-Jul-26 | AQP | OPERADOR TRADICIONALES | TRF APTO VUELO LA2328 LLEGADA 09:05/INICIO DE TOUR DE COLCA 2PAX ADT_E(2)  = 33.80  15-Ju</t>
  </si>
  <si>
    <t>010023006</t>
  </si>
  <si>
    <t xml:space="preserve">14-Ago-26 | PUN | OPERADOR TRADICIONALES | 003956 - 2D/1N PUN - COL - AQP  PVT - HTL IN/OUT CHIVAY INC. BTC 6PAX ADT_E(6)  = 1228.00 15-Ago-26 | PUN | OPERADOR TRADICIONALES | 003956 - 2D/1N PUN - COL - AQP  PVT - HTL IN/OUT CHIVAY INC. BTC 6PAX ADT_E(6) </t>
  </si>
  <si>
    <t>010023011</t>
  </si>
  <si>
    <t>010023000</t>
  </si>
  <si>
    <t xml:space="preserve">02-Jun-26 | LIM | TRASLADISTA | 002369 - VIATICOS DE MOVILIDAD CASA - APTO OW O V.V 2PAX ADT_E(2)  = 10.00  03-Jun-26 | LIM | TRASLADISTA | 002369 - VIATICOS DE MOVILIDAD NOCTURNO CASA - APTO OW O V.V 2PAX ADT_E(2)  = 12.00  03-Jun-26 | LIM | TRASLADISTA </t>
  </si>
  <si>
    <t>010023001</t>
  </si>
  <si>
    <t xml:space="preserve">16-Jun-26 | LIM | TRASLADISTA | VIATICOS DE MOVILIDAD NOCTURNO CASA - APTO OW O V.V - (18.01 A 07:00 HRS.) 2PAX ADT_E(2)  = 16.00  19-Jun-26 | LIM | TRASLADISTA | 011018 - VIATICOS DE MOVILIDAD DIURNO CASA - APTO OW O V.V 2PAX ADT_E(2)  = 8.00  16-Jun-26 </t>
  </si>
  <si>
    <t>010023012</t>
  </si>
  <si>
    <t xml:space="preserve">24-Abr-26 | LIM | TRANSPORTE TURISTICO | TRF APTO LA2008 - PARACAS HTL LEGEND PARACAS 4PAX ADT_E(4)  = 35.40  </t>
  </si>
  <si>
    <t>010023013</t>
  </si>
  <si>
    <t>010023014</t>
  </si>
  <si>
    <t>09-May-26 | LIM | TRANSPORTE TURISTICO | TRF APTO  - HOTEL RADISSON DECAPOLIS INC MALETAS VUELO LA520 2PAX ADT_E(2)  = 33.04  10-May-26 | LIM | TRANSPORTE TURISTICO | TRF HD GASTRONOMICO - 6 HRS 2PAX ADT_E(2)  = 89.68  12-May-26 | LIM | TRANSPORTE TURISTI</t>
  </si>
  <si>
    <t>010023015</t>
  </si>
  <si>
    <t>010022999</t>
  </si>
  <si>
    <t xml:space="preserve">11-Jul-26 | CUZ | GUIA ENG - ESP | FULL DAY PISAC, CUCHARA DE PALO REST &amp; OLLANTAYTAMBO-SONESTA POSADA DEL INCA YUCAY 2PAX ADT_E(2)  = 75.00  13-Jul-26 | CUZ | GUIA ENG - ESP | TRF HD RUINAS+KORICANCHA+CATEDRAL - 4 HRS. 2PAX ADT_E(2)  = 60.00  </t>
  </si>
  <si>
    <t>010022998</t>
  </si>
  <si>
    <t xml:space="preserve">14-Jul-26 | CUZ | GUIA ENG - ESP | FULL DAY OLLANTAYTAMBO + MARAS &amp; MORAY 5PAX ADT_E(5)  = 75.00  </t>
  </si>
  <si>
    <t>CREDITO</t>
  </si>
  <si>
    <t>FACTURA E001-1228 $177.38 / NO COINCIDE CON VOUCHER</t>
  </si>
  <si>
    <t>FACTURA F002-23975</t>
  </si>
  <si>
    <t>Soliciar factura - SE PAGÓ 50% - se envió correo 12/08</t>
  </si>
  <si>
    <t>CAMPING TOURS - CAMINO INCA Y PARECIDOS</t>
  </si>
  <si>
    <t>CAMPING TOURS - SERVICIOS CREDITO</t>
  </si>
  <si>
    <t>010023035</t>
  </si>
  <si>
    <t xml:space="preserve">10-Jul-26 | CUZ | OPERADOR AVENTURA | CAMPING: HTL CUS - FD VINICUNCA - HTL CUS SIC 3PAX ADT_E(3)  = 141.60  </t>
  </si>
  <si>
    <t>010023036</t>
  </si>
  <si>
    <t>010023028</t>
  </si>
  <si>
    <t xml:space="preserve">29-Jul-26 | VAL | CHEF | VIATICOS DE MOVILIDAD Y ALOJAMIENTO RESTANTE 17PAX ADT_E(17)  = 168.00  </t>
  </si>
  <si>
    <t>010023029</t>
  </si>
  <si>
    <t>010023022</t>
  </si>
  <si>
    <t>21-Jun-26 | CUZ | TRANSPORTE TURISTICO | 008389 - BOTELLA DE FONTEVITA 350 ML ENVASE DE VIDRIO 2PAX ADT_E(2)  = 3.00  22-Jun-26 | CUZ | TRANSPORTE TURISTICO | 02   BOTELLA DE FONTEVITA 350 ML ENVASE DE VIDRIO POR PAX 2PAX ADT_E(2)  = 6.00  23-Jun-26 | CUZ</t>
  </si>
  <si>
    <t>010023023</t>
  </si>
  <si>
    <t xml:space="preserve">04-Ago-26 | CUZ | TRANSPORTE SUPERIOR | MARTINA WASI - APTO CHARTER PRIVADO SALE 12:00 | CHARTER N12NU INC. AUTO MALETERO 9PAX ADT_E(9)  = 203.50  </t>
  </si>
  <si>
    <t>010023024</t>
  </si>
  <si>
    <t xml:space="preserve">30-Jul-26 | CUZ | TRANSPORTE SUPERIOR | AUTO MALETERO TRF APTO - VILLA PISAC KURIWASI II 6PAX ADT_E(6)  = 50.00  30-Jul-26 | CUZ | TRANSPORTE SUPERIOR | TRF APTO - VILLA PISAC KURIWASI II | ARRIBAN EN VUELO LA2032 6PAX ADT_E(6)  = 120.00  </t>
  </si>
  <si>
    <t>010023025</t>
  </si>
  <si>
    <t xml:space="preserve">30-Jul-26 | VAL | TRANSPORTE SUPERIOR | HTL MARTINA WASI - RUINAS OLLANTA - PACHAMANCA ALBERGUE OLLANTA - MUSEO INKARIY - HTL PISAC 19PAX ADT_E(19)  = 140.00  </t>
  </si>
  <si>
    <t>010023026</t>
  </si>
  <si>
    <t xml:space="preserve">01-Ago-26 | CUZ | TRANSPORTE SUPERIOR | MARTINA WASI - EST.OLLANTA - FD MAPI - 15:25 EST. OLLANTA - MARTINA WASI 14PAX ADT_E(14)  = 140.00  </t>
  </si>
  <si>
    <t>010023027</t>
  </si>
  <si>
    <t>03-Ago-26 | CUZ | TRANSPORTE SUPERIOR | 01Martina Wasi - Sacsayhuaman - Plaza de Armas Cusco - San Blas - Chicha Restaurante - Martina Wasi 1PAX ADT_E(1)  = 140.00  03-Ago-26 | CUZ | TRANSPORTE SUPERIOR | Kuri Wasi 2 - Chicha Restaurante - Kuri Wasi 2.  (</t>
  </si>
  <si>
    <t>010023030</t>
  </si>
  <si>
    <t>010023031</t>
  </si>
  <si>
    <t>010023032</t>
  </si>
  <si>
    <t xml:space="preserve">18-Abr-26 | LIM | TRANSPORTE TURISTICO | HTL CASA REPUBLICA - CENTRO LIMA CATEDRAL Y SAN FRANCISCO - PEND 3PAX ADT_E(3)  = 70.80  18-Abr-26 | LIM | TRANSPORTE TURISTICO | TRASLADO HTL CASA REPUBLICA BARRANCO - APTO VUELO KL744 3PAX ADT_E(3)  = 33.26  </t>
  </si>
  <si>
    <t>010023033</t>
  </si>
  <si>
    <t>E001-452</t>
  </si>
  <si>
    <t>ARANWA PUEBLITO ENCANTADO DEL COLCA</t>
  </si>
  <si>
    <t>010023037</t>
  </si>
  <si>
    <t xml:space="preserve">14-Ago-26 | COL | RESTAURANTES DE HOTELES | 007386 - ARANWA COLCA: MENU PACHAMAMA 6PAX ADT_E(6)  = 210.00  </t>
  </si>
  <si>
    <t>010023038</t>
  </si>
  <si>
    <t xml:space="preserve">14-Ago-26 | COL | RESTAURANTES DE HOTELES | 007385 - ARANWA COLCA: MENU ENCANTADO 2PAX ADT_E(2)  = 0.00  15-Ago-26 | COL | RESTAURANTES DE HOTELES | 007386 - ARANWA COLCA: MENU PACHAMAMA 2PAX ADT_E(2)  = 64.00  15-Ago-26 | COL | RESTAURANTES DE HOTELES | </t>
  </si>
  <si>
    <t>E001-545</t>
  </si>
  <si>
    <t>E001-766</t>
  </si>
  <si>
    <t>E001-767</t>
  </si>
  <si>
    <t>E001-60</t>
  </si>
  <si>
    <t>E001-1160</t>
  </si>
  <si>
    <t>E001-1618</t>
  </si>
  <si>
    <t>F001-671</t>
  </si>
  <si>
    <t>F001-693</t>
  </si>
  <si>
    <t>E001-7143</t>
  </si>
  <si>
    <t>E001-1844</t>
  </si>
  <si>
    <t>E001-66</t>
  </si>
  <si>
    <t>E001-67</t>
  </si>
  <si>
    <t>E001-1807 - DETRACCIÓN</t>
  </si>
  <si>
    <t>E001-1846 / NO COINCIDE CON SOL DE PAGO</t>
  </si>
  <si>
    <t>E001-1847 - DETRACCIÓN</t>
  </si>
  <si>
    <t>E001-1880 - DETRACCIÓN</t>
  </si>
  <si>
    <t>E001-1881 / NO COINCIDE CON SOL DE PAGO</t>
  </si>
  <si>
    <t>E001-640</t>
  </si>
  <si>
    <t>E001-639</t>
  </si>
  <si>
    <t>E001-637</t>
  </si>
  <si>
    <t>E001-635</t>
  </si>
  <si>
    <t>E001-638 / NO COINCIDE CON SOL DE PAGO $38</t>
  </si>
  <si>
    <t>E001-641 / NO COINCIDE CON SOL DE PAGO $22</t>
  </si>
  <si>
    <t>E001- 636 / NO COINCIDE CON SOL DE PAGO $61</t>
  </si>
  <si>
    <t>E001-644</t>
  </si>
  <si>
    <t>E001-645</t>
  </si>
  <si>
    <t>E001-646 / NO COINCIDE CON SOL DE PAGO $20</t>
  </si>
  <si>
    <t>E001-441</t>
  </si>
  <si>
    <t>E001-443</t>
  </si>
  <si>
    <t>E001-447 / NO COINCIDE CON SOL DE PAGO $133</t>
  </si>
  <si>
    <t>E001-578 y E001-579 / SOL DE PAGO NO COINCIDE $240</t>
  </si>
  <si>
    <t>E001-580 y E001-581 / SOL DE PAGO NO COINCIDE $240</t>
  </si>
  <si>
    <t>E001-538</t>
  </si>
  <si>
    <t>E001-411</t>
  </si>
  <si>
    <t>E001-412</t>
  </si>
  <si>
    <t>E001-453</t>
  </si>
  <si>
    <t>E001-460</t>
  </si>
  <si>
    <t>E001-455</t>
  </si>
  <si>
    <t>E001-763</t>
  </si>
  <si>
    <t>E001-721</t>
  </si>
  <si>
    <t>E001-1992</t>
  </si>
  <si>
    <t>E001-1152</t>
  </si>
  <si>
    <t>E001-1156</t>
  </si>
  <si>
    <t>E001-1151</t>
  </si>
  <si>
    <t>E001-1124</t>
  </si>
  <si>
    <t>E001-1169</t>
  </si>
  <si>
    <t>E001-1170</t>
  </si>
  <si>
    <t>E001-1115</t>
  </si>
  <si>
    <t>E001-1230</t>
  </si>
  <si>
    <t>E001-1228 / NO COINCIDE SOL DE PAGO $177.38</t>
  </si>
  <si>
    <t>E001-1229 / NO COINCIDE SOL DE PAGO $124.51</t>
  </si>
  <si>
    <t>E001-1666</t>
  </si>
  <si>
    <t>E001-1656 / NO COINCIDE SOL DE PAGO $471.49</t>
  </si>
  <si>
    <t>E001-1678</t>
  </si>
  <si>
    <t>E001-1284</t>
  </si>
  <si>
    <t>E001-653</t>
  </si>
  <si>
    <t>E001-670</t>
  </si>
  <si>
    <t>E001-694</t>
  </si>
  <si>
    <t>E001-610 / NO COINCIDE SOL DE PAGO $1181.40</t>
  </si>
  <si>
    <t>E001-7066</t>
  </si>
  <si>
    <t>E001-7067</t>
  </si>
  <si>
    <t>E001-7057</t>
  </si>
  <si>
    <t>E001-7079</t>
  </si>
  <si>
    <t>E001-7059</t>
  </si>
  <si>
    <t>E001-7080</t>
  </si>
  <si>
    <t>E001-7147</t>
  </si>
  <si>
    <t>E001-6498</t>
  </si>
  <si>
    <t>ELIMINAR SP</t>
  </si>
  <si>
    <t>E001-78 / SIN CUENTA SOLES</t>
  </si>
  <si>
    <t/>
  </si>
  <si>
    <t>AMERICANA DE TURISMO</t>
  </si>
  <si>
    <t>010023058</t>
  </si>
  <si>
    <t xml:space="preserve">28-Ago-26 | VAL | OPERADOR TRADICIONALES | HTL CASA ANDINA VALLE PREMIUM F/D VALLE - PISAC + OLLANTA - ROYAL SERVICE - HTL 2PAX ADT_E(2)  = 74.00  </t>
  </si>
  <si>
    <t>010023050</t>
  </si>
  <si>
    <t xml:space="preserve">16-Ago-26 | CUZ | OPERADOR AVENTURA | CAMBIO A BOLETO VISTADOME 73 - 2 PAX + GUIA 2PAX ADT_E(2)  = 41.00  </t>
  </si>
  <si>
    <t>010023051</t>
  </si>
  <si>
    <t>GUIA LIM ING CANLLA VILLACORTA ELENA</t>
  </si>
  <si>
    <t>010023057</t>
  </si>
  <si>
    <t xml:space="preserve">21-Ago-26 | LIM | IGLESIAS Y MONASTERIOS | ENTRADA SANTO DOMINGO 2PAX ADT_E(2)  = 30.00  </t>
  </si>
  <si>
    <t>260900002</t>
  </si>
  <si>
    <t>INTERAGENCIAS - AGIL</t>
  </si>
  <si>
    <t>010023042</t>
  </si>
  <si>
    <t xml:space="preserve">12-Set-26 | LIM | OPERADOR TRADICIONALES | LIM - CUZ FILE 260900002 - LA2077 DEPARTURE AT 09:50 4PAX ADT_E(4)  = 872.26  24-Set-26 | LIM | OPERADOR TRADICIONALES | FILE 260900002 VUELO CUZ-LIM 4PAX ADT_E(4)  = 872.26  </t>
  </si>
  <si>
    <t>260900004</t>
  </si>
  <si>
    <t>010023049</t>
  </si>
  <si>
    <t xml:space="preserve">04-Set-26 | LIM | OPERADOR TRADICIONALES | VUELO SATURNINO CUSCO - TARAPOTO 2PAX ADT_E(2)  = 146.23  12-Set-26 | LIM | OPERADOR TRADICIONALES | VUELO SATURNINO TARAPOTO - LIMA - CUSCO 2PAX ADT_E(2)  = 283.51  </t>
  </si>
  <si>
    <t>270100001</t>
  </si>
  <si>
    <t>010023064</t>
  </si>
  <si>
    <t xml:space="preserve">21-Ene-27 | LIM | OPERADOR TRADICIONALES | LIMA- CUSCO -LIMA 4PAX ADT_E(4)  = 452.18  </t>
  </si>
  <si>
    <t>MANCORA TRAVEL</t>
  </si>
  <si>
    <t>010023063</t>
  </si>
  <si>
    <t>27-Ago-26 | TYL | TRANSPORTE TURISTICO | APTO TALARA - HTL ARENNAS MANCORA | ARRIBO EN VUELO LA2255 A LAS 20:50 2PAX ADT_E(2)  = 250.00  27-Ago-26 | MAN | TRANSPORTE TURISTICO | APTO TALARA - HTL ARENNAS MANCORA | ARRIBO EN VUELO LA2255 A LAS 20:50 2PAX A</t>
  </si>
  <si>
    <t>010023060</t>
  </si>
  <si>
    <t>09-Set-26 | LIM | GUIA ENG - ESP | Traslados internos+Pasaje Ica-Lima+Alimentación BL 2PAX ADT_E(2)  = 170.00  10-Set-26 | LIM | GUIA ENG - ESP | Traslados internos+Traslados interprovinviales Ica-Paracas+Alimentacion L + D 2PAX ADT_E(2)  = 100.00  11-Set</t>
  </si>
  <si>
    <t>SONESTA POSADA DEL INCA - YUCAY</t>
  </si>
  <si>
    <t>010023059</t>
  </si>
  <si>
    <t xml:space="preserve">28-Ago-26 | VAL | RESTAURANTES DE HOTELES | SONESTA YUCAY: ALMUERZO BUFFET 2PAX ADT_E(2)  = 36.00  </t>
  </si>
  <si>
    <t>010023052</t>
  </si>
  <si>
    <t xml:space="preserve">26-Ago-26 | CUZ | OPERADOR TRADICIONALES | HTL QUINTA SAN BLAS - VINICUNCA PVT INC. CABALLO OW - HTL QUINTA SAN BLAS 2PAX ADT_E(2)  = 507.40  </t>
  </si>
  <si>
    <t>TRENES BELMOND - TARIFA DINAMICA - INC. ALIMENTACION</t>
  </si>
  <si>
    <t>261000009</t>
  </si>
  <si>
    <t>010023066</t>
  </si>
  <si>
    <t>01-Nov-26 | AQP | TREN | 009163 - ANDEAN EXPLORER: 3D/2N ANDEAN PLAINS SUITE DWB AQP-PUN-CUSCO 4PAX ADT_E(4)  = 8400.00  01-Nov-26 | AQP | TREN | 009164 - ANDEAN EXPLORER: 3D/2 ANDEAN PLAINS TWIN DWB AQP-PUN-CUS 4PAX ADT_E(4)  = 7087.50  02-Nov-26 | AQP |</t>
  </si>
  <si>
    <t>010023067</t>
  </si>
  <si>
    <t>010023068</t>
  </si>
  <si>
    <t xml:space="preserve">05-Nov-26 | VAL | TREN | 002347 - HIRAM BINGHAM 11: OLLANTA 10:53 MACHUPICCHU 12:24 OW 4PAX ADT_E(4)  = 1995.00  06-Nov-26 | MAP | TREN | 006899 - HIRAM BINGHAM 12: MAPI 17:50 - POROY 21:16 OW 4PAX ADT_E(4)  = 1995.00  </t>
  </si>
  <si>
    <t>010023069</t>
  </si>
  <si>
    <t>TUCANO CUSCO</t>
  </si>
  <si>
    <t>010023021</t>
  </si>
  <si>
    <t xml:space="preserve">05-Nov-26 | MAP | CENTROS ARQUEOLOGICOS | 010934 - ENTRADA MAPI 1B TERRAZA SUPERIOR - EXTRANJERO 4PAX ADT_E(4)  = 625.71  06-Nov-26 | MAP | CENTROS ARQUEOLOGICOS | 009486 - ENTRADA MAPI 3A MONTAÑA WAYNAPICCHU - EXTRANJERO 4PAX ADT_E(4)  = 823.30  </t>
  </si>
  <si>
    <t>010023061</t>
  </si>
  <si>
    <t>27-Ago-26 | CUZ | OPERADOR TRADICIONALES | SERVICIO DE OPERACION POR DIA 2PAX ADT_E(2)  = 35.00  28-Ago-26 | CUZ | OPERADOR TRADICIONALES | SERVICIO DE OPERACION POR DIA 2PAX ADT_E(2)  = 35.00  29-Ago-26 | CUZ | OPERADOR TRADICIONALES | SERVICIO DE OPERAC</t>
  </si>
  <si>
    <t>010023041</t>
  </si>
  <si>
    <t xml:space="preserve">11-Ago-26 | LIM | RESTAURANTES | ADICIONAL POR ALMUERZO A LA CARTA 2PAX ADT_E(2)  = 85.00  </t>
  </si>
  <si>
    <t>010023053</t>
  </si>
  <si>
    <t>12-Ago-26 | LIM | GUIA ENG - ESP | HTL VILLA BARRANCO - HACIENDA BAHIA PARACAS 2PAX ADT_E(2)  = 100.00  13-Ago-26 | LIM | GUIA ENG - ESP | HTL HACIENDA BAHIA  - BALLESTAS 08.00 EN HACIENDA - SOBRE VUELO NAZCA AERODROMO PISCO 11.30 - HTL 2PAX ADT_E(2)  = 1</t>
  </si>
  <si>
    <t>010023062</t>
  </si>
  <si>
    <t xml:space="preserve">22-Ago-26 | AQP | OPERADOR TRADICIONALES | HTL CIRQA - CITY TOUR - MONASTERIO Y JUANITA - HTL 2PAX ADT_E(2)  = 165.60  23-Ago-26 | AQP | OPERADOR TRADICIONALES | HTL CIRQA - 3D/2N AQP - COL- PUN  INC. BTC - COLCA LODGE 2PAX ADT_E(2)  = 1078.00  24-Ago-26 </t>
  </si>
  <si>
    <t>010023072</t>
  </si>
  <si>
    <t>16-Ago-26 | LIM | TRANSPORTE TURISTICO | 005496 - TRF APTO LA 2102 - PARACAS 6PAX ADT_E(6)  = 62.54  16-Ago-26 | LIM | TRANSPORTE TURISTICO | 003371 - 2D/1N LIM - PRC: HACIENDA BAHIA PARACAS + RESERVA NACIONAL 6PAX ADT_E(6)  = 826.00  17-Ago-26 | LIM | TR</t>
  </si>
  <si>
    <t>010023071</t>
  </si>
  <si>
    <t>010023085</t>
  </si>
  <si>
    <t xml:space="preserve">10-Set-26 | VAL | RESTAURANTES | 009538 - ALQA: ALMUERZO O CENA DE AUTORES SIN MARIDAJE 2PAX ADT_E(2)  = 380.00  10-Set-26 | VAL | RESTAURANTES | MENU GUIA 2PAX ADT_E(2)  = 160.00  </t>
  </si>
  <si>
    <t>010023076</t>
  </si>
  <si>
    <t>10-Set-26 | PRC | TRANSPORTE TURISTICO | TRF HTL PARACAS LUXURY - AERODROMO PISCO - HTL PARACAS LUXURY 2PAX ADT_E(2)  = 44.84  10-Set-26 | PRC | TRANSPORTE TURISTICO | TRF HTL PARACAS LUXURY - HUACACHINA - HTL PARACAS LUXURY 2PAX ADT_E(2)  = 188.80  10-Se</t>
  </si>
  <si>
    <t>261100004</t>
  </si>
  <si>
    <t>010023077</t>
  </si>
  <si>
    <t>19-Nov-26 | VAL | OPERADOR AVENTURA | 010531 - CAMPING: INCA TRAIL 2D/1N VISTADOME - PVT W/TRASFER+GUIDE 1PAX ADT_E(1)  = 1151.68  20-Nov-26 | VAL | OPERADOR AVENTURA | 010531 - CAMPING: INCA TRAIL 2D/1N VISTADOME - PVT W/TRASFER+GUIDE 1PAX ADT_E(1)  = 0.</t>
  </si>
  <si>
    <t>COSTA DEL SOL AREQUIPA</t>
  </si>
  <si>
    <t>010023079</t>
  </si>
  <si>
    <t xml:space="preserve">15-Ago-26 | AQP |  | PREMIUM GRADEN VIEW (45 m²) 6PAX ADT_E(6)  = 445.50  </t>
  </si>
  <si>
    <t>010023081</t>
  </si>
  <si>
    <t xml:space="preserve">20-Ene-27 | LIM | OPERADOR TRADICIONALES | 009172 - VUELOS NACIONALES 4PAX ADT_E(4)  = 889.56  </t>
  </si>
  <si>
    <t>010023074</t>
  </si>
  <si>
    <t>20-Ago-26 | LIM | TRANSPORTE SUPERIOR | APTO - HTL CASA REPUBLICA | ARRIBO EN VUELO KLM 743 AMS LIM 15:25 2PAX ADT_E(2)  = 53.10  20-Ago-26 | LIM | TRANSPORTE SUPERIOR | 02 BOTELLA DE AGUA FONTEVITA 350 ML VIDRIO SIN GAS 2PAX ADT_E(2)  = 2.00  21-Ago-26 |</t>
  </si>
  <si>
    <t>010023075</t>
  </si>
  <si>
    <t>MOUNTAIN VIEW</t>
  </si>
  <si>
    <t>010023073</t>
  </si>
  <si>
    <t xml:space="preserve">18-Nov-26 | VAL | PICNIC LUNCH | 010138 - MOUNTAIN VIEW: PICNIC ANDINO SIN TRASLADO 1PAX ADT_E(1)  = 132.16  18-Nov-26 | VAL | RESTAURANTES DE HOTELES | 011074 - MOUNTAIN VIEW: ALMUERZO MENU GUIA 1PAX ADT_E(1)  = 8.00  </t>
  </si>
  <si>
    <t>010023082</t>
  </si>
  <si>
    <t>09-Jul-26 | LIM | TRASLADISTA | 011018 - VIATICOS DE MOVILIDAD DIURNO CASA - APTO OW O V.V 2PAX ADT_E(2)  = 8.00  10-Jul-26 | LIM | TRASLADISTA | 002369 - VIATICOS DE MOVILIDAD NOCTURNO CASA - APTO OW O V.V - NOCTURNO 2PAX ADT_E(2)  = 18.00  16-Jul-26 | L</t>
  </si>
  <si>
    <t>PROGRAMAR</t>
  </si>
  <si>
    <t>010022201</t>
  </si>
  <si>
    <t xml:space="preserve">12-Oct-26 | VAL | OPERADOR AVENTURA | CAMPING: INCA TRAIL 2D/1N VISTADOME DAGMARA DILLING-BOER 2PAX ADT_E(2)  = 850.78  13-Oct-26 | CUZ | OPERADOR AVENTURA | CAMPING: INGRESOS A MACHU PICCHU X 2 PAX + TOUR+TRENES + TRASLADOS 2PAX ADT_E(2)  = 311.00  </t>
  </si>
  <si>
    <t>261100001</t>
  </si>
  <si>
    <t>010022749</t>
  </si>
  <si>
    <t xml:space="preserve">07-Nov-26 | MAP | RESTAURANTES DE HOTELES | 005380 - CAFE INKATERRA: ALMUERZO A LA CARTA 3PAX ADT_E(3)  = 62.10  08-Nov-26 | MAP | RESTAURANTES DE HOTELES | 005380 - CAFE INKATERRA: ALMUERZO A LA CARTA 3PAX ADT_E(3)  = 62.10  </t>
  </si>
  <si>
    <t>010023090</t>
  </si>
  <si>
    <t xml:space="preserve">18-Nov-26 | VAL | PICNIC LUNCH | 010138 - MOUNTAIN VIEW: PICNIC ANDINO SIN TRASLADO 1PAX ADT_E(1)  = 100.60  18-Nov-26 | VAL | RESTAURANTES DE HOTELES | 011074 - MOUNTAIN VIEW: ALMUERZO MENU GUIA 1PAX ADT_E(1)  = 8.00  </t>
  </si>
  <si>
    <t>THE LEGEND PARACAS RESORT</t>
  </si>
  <si>
    <t>010023089</t>
  </si>
  <si>
    <t xml:space="preserve">09-Set-26 | PRC |  | OCEAN VIEW SUITE (55 m²) 2PAX ADT_E(2)  = 218.90  10-Set-26 | PRC |  | OCEAN VIEW SUITE (55 m²) 2PAX ADT_E(2)  = 218.90  </t>
  </si>
  <si>
    <t>ANULADO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</si>
</sst>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2" fillId="0" borderId="0" xfId="0" applyFont="1"/>
    <xf numFmtId="14" fontId="2" fillId="0" borderId="0" xfId="0" applyNumberFormat="1" applyFont="1"/>
    <xf numFmtId="43" fontId="0" fillId="0" borderId="0" xfId="3" applyFont="1"/>
    <xf numFmtId="43" fontId="0" fillId="2" borderId="0" xfId="3" applyFont="1" applyFill="1"/>
    <xf numFmtId="0" fontId="0" fillId="3" borderId="0" xfId="0" applyFill="1"/>
    <xf numFmtId="14" fontId="0" fillId="3" borderId="0" xfId="0" applyNumberFormat="1" applyFill="1"/>
    <xf numFmtId="43" fontId="0" fillId="3" borderId="0" xfId="3" applyFont="1" applyFill="1"/>
    <xf numFmtId="43" fontId="0" fillId="2" borderId="0" xfId="9" applyFont="1" applyFill="1"/>
    <xf numFmtId="43" fontId="0" fillId="0" borderId="0" xfId="9" applyFont="1"/>
    <xf numFmtId="43" fontId="2" fillId="0" borderId="0" xfId="9" applyFont="1"/>
    <xf numFmtId="0" fontId="0" fillId="4" borderId="0" xfId="0" applyFill="1"/>
    <xf numFmtId="14" fontId="0" fillId="4" borderId="0" xfId="0" applyNumberFormat="1" applyFill="1"/>
    <xf numFmtId="43" fontId="0" fillId="4" borderId="0" xfId="9" applyFont="1" applyFill="1"/>
    <xf numFmtId="43" fontId="0" fillId="0" borderId="0" xfId="9" applyFont="1" applyFill="1"/>
    <xf numFmtId="0" fontId="0" fillId="5" borderId="0" xfId="0" applyFill="1"/>
    <xf numFmtId="14" fontId="0" fillId="5" borderId="0" xfId="0" applyNumberFormat="1" applyFill="1"/>
    <xf numFmtId="43" fontId="0" fillId="5" borderId="0" xfId="9" applyFont="1" applyFill="1"/>
    <xf numFmtId="43" fontId="0" fillId="0" borderId="0" xfId="0" applyNumberFormat="1"/>
    <xf numFmtId="43" fontId="0" fillId="0" borderId="0" xfId="0" applyNumberFormat="1" applyAlignment="1">
      <alignment vertical="top"/>
    </xf>
    <xf numFmtId="43" fontId="0" fillId="0" borderId="0" xfId="10" applyFont="1"/>
    <xf numFmtId="43" fontId="0" fillId="2" borderId="0" xfId="10" applyFont="1" applyFill="1"/>
    <xf numFmtId="43" fontId="0" fillId="0" borderId="0" xfId="10" applyFont="1" applyFill="1"/>
  </cellXfs>
  <cellStyles count="11">
    <cellStyle name="Millares" xfId="10" builtinId="3"/>
    <cellStyle name="Millares 2" xfId="1" xr:uid="{5BA337CB-A04F-4B7D-BA61-0B6A9DBBD30D}"/>
    <cellStyle name="Millares 2 2" xfId="6" xr:uid="{35C067FB-8C7F-46BE-AAE1-6F715DA8A9AB}"/>
    <cellStyle name="Millares 2 3" xfId="7" xr:uid="{27BECDF6-5F38-4F5B-B49F-4304AF06830C}"/>
    <cellStyle name="Millares 2 4" xfId="4" xr:uid="{0F9BB37E-EA96-41EB-B832-49B23207B1C0}"/>
    <cellStyle name="Millares 3" xfId="2" xr:uid="{0D3C9DAF-8866-46BD-9B60-DA2D1EF7FA60}"/>
    <cellStyle name="Millares 3 2" xfId="8" xr:uid="{08CBE60C-3411-4D29-8E63-7574F2C8F784}"/>
    <cellStyle name="Millares 3 3" xfId="5" xr:uid="{17382F23-1AEA-4940-B000-030CB503B2D3}"/>
    <cellStyle name="Millares 4" xfId="3" xr:uid="{2169CC60-72EE-45CE-B67E-474E94633B57}"/>
    <cellStyle name="Millares 5" xfId="9" xr:uid="{A1C02B0D-C970-41B6-A730-74C89654EFB9}"/>
    <cellStyle name="Normal" xfId="0" builtinId="0"/>
  </cellStyles>
  <dxfs count="29">
    <dxf>
      <numFmt numFmtId="0" formatCode="General"/>
    </dxf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numFmt numFmtId="19" formatCode="d/mm/yyyy"/>
    </dxf>
    <dxf>
      <numFmt numFmtId="0" formatCode="General"/>
    </dxf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198CFE8D-6425-4B4E-92F1-B4E7E94F74CB}" autoFormatId="16" applyNumberFormats="0" applyBorderFormats="0" applyFontFormats="0" applyPatternFormats="0" applyAlignmentFormats="0" applyWidthHeightFormats="0">
  <queryTableRefresh nextId="24">
    <queryTableFields count="10">
      <queryTableField id="1" name="File" tableColumnId="1"/>
      <queryTableField id="12" name="FechaEmision" tableColumnId="12"/>
      <queryTableField id="2" name="Tipo" tableColumnId="2"/>
      <queryTableField id="3" name="Proveedor" tableColumnId="3"/>
      <queryTableField id="4" name="Solicitud" tableColumnId="4"/>
      <queryTableField id="13" name="USD" tableColumnId="13"/>
      <queryTableField id="14" name="PEN" tableColumnId="14"/>
      <queryTableField id="9" name="FechaVcto" tableColumnId="9"/>
      <queryTableField id="15" name="Comentario" tableColumnId="15"/>
      <queryTableField id="11" name="Detalle" tableColumnId="11"/>
    </queryTableFields>
    <queryTableDeletedFields count="5">
      <deletedField name="Moneda"/>
      <deletedField name="Saldo"/>
      <deletedField name="Importe"/>
      <deletedField name="Pagos"/>
      <deletedField name="Pax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F4EE08AB-3E73-400C-889B-F2BD1BC749F6}" autoFormatId="16" applyNumberFormats="0" applyBorderFormats="0" applyFontFormats="0" applyPatternFormats="0" applyAlignmentFormats="0" applyWidthHeightFormats="0">
  <queryTableRefresh nextId="24">
    <queryTableFields count="10">
      <queryTableField id="1" name="File" tableColumnId="1"/>
      <queryTableField id="12" name="FechaEmision" tableColumnId="12"/>
      <queryTableField id="2" name="Tipo" tableColumnId="2"/>
      <queryTableField id="3" name="Proveedor" tableColumnId="3"/>
      <queryTableField id="4" name="Solicitud" tableColumnId="4"/>
      <queryTableField id="13" name="USD" tableColumnId="13"/>
      <queryTableField id="14" name="PEN" tableColumnId="14"/>
      <queryTableField id="9" name="FechaVcto" tableColumnId="9"/>
      <queryTableField id="15" name="Comentario" tableColumnId="15"/>
      <queryTableField id="11" name="Detalle" tableColumnId="11"/>
    </queryTableFields>
    <queryTableDeletedFields count="5">
      <deletedField name="Moneda"/>
      <deletedField name="Saldo"/>
      <deletedField name="Importe"/>
      <deletedField name="Pagos"/>
      <deletedField name="Pax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08FAD7-4B4E-4BB3-929C-D79A51DA5E6D}" name="Tabla4" displayName="Tabla4" ref="A1:J334" totalsRowShown="0" dataDxfId="20" dataCellStyle="Millares 4">
  <sortState xmlns:xlrd2="http://schemas.microsoft.com/office/spreadsheetml/2017/richdata2" ref="A2:J88">
    <sortCondition ref="H1:H334"/>
  </sortState>
  <tableColumns count="10">
    <tableColumn id="1" xr3:uid="{5A946864-B8CB-466E-8F50-2B20E52628BC}" name="File"/>
    <tableColumn id="2" xr3:uid="{EE53ED24-0423-41C6-9246-19B7DADC4F34}" name="FechaEmision" dataDxfId="19"/>
    <tableColumn id="3" xr3:uid="{0284F5C9-8549-42A6-9670-9669C139A92C}" name="Tipo"/>
    <tableColumn id="4" xr3:uid="{CC653789-E93C-45E8-979F-A2125AA10721}" name="Proveedor"/>
    <tableColumn id="5" xr3:uid="{28B5CE40-E011-484F-AB17-6291FAA69392}" name="Solicitud"/>
    <tableColumn id="6" xr3:uid="{007C7441-970D-4A16-B000-E05D8C02ED3F}" name="USD" dataDxfId="18" dataCellStyle="Millares 4"/>
    <tableColumn id="7" xr3:uid="{F0F83F00-9837-4BF1-8BFE-BBE11A356582}" name="PEN" dataDxfId="17" dataCellStyle="Millares 4"/>
    <tableColumn id="8" xr3:uid="{487EA4DE-60BA-4959-AA00-CE7F9561F4BD}" name="FechaVcto" dataDxfId="16"/>
    <tableColumn id="9" xr3:uid="{EA85252D-8365-4FE6-8A2A-C7344BD46429}" name="Comentario"/>
    <tableColumn id="10" xr3:uid="{5C54E477-7175-409B-9FA6-8B1B2D1B3BF3}" name="Detal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FBBCF3-46FA-412A-B52E-839D3F4B5472}" name="Tabla2" displayName="Tabla2" ref="A1:J348" totalsRowCount="1">
  <sortState xmlns:xlrd2="http://schemas.microsoft.com/office/spreadsheetml/2017/richdata2" ref="A4:J256">
    <sortCondition ref="D1:D347"/>
  </sortState>
  <tableColumns count="10">
    <tableColumn id="1" xr3:uid="{23431029-C8FE-41CF-AC49-AF545285D748}" name="File"/>
    <tableColumn id="2" xr3:uid="{83E0E02C-6BDE-4739-AB52-A4A1E7D3057A}" name="FechaEmision" dataDxfId="15" totalsRowDxfId="14"/>
    <tableColumn id="3" xr3:uid="{D5CA36AC-C953-49CF-82D5-77C1A67948EE}" name="Tipo"/>
    <tableColumn id="4" xr3:uid="{EEF59D5D-BB4E-4F91-ADFC-3F465C97704D}" name="Proveedor"/>
    <tableColumn id="5" xr3:uid="{FED14E66-ECD4-46A9-A404-185AA998A8EF}" name="Solicitud"/>
    <tableColumn id="6" xr3:uid="{B407BF50-A8B8-402C-B422-83CFE14CE989}" name="USD" totalsRowFunction="sum" dataDxfId="13" totalsRowDxfId="12" dataCellStyle="Millares 5"/>
    <tableColumn id="7" xr3:uid="{B31D8F15-CC40-4C22-AE44-DFD5A130DF06}" name="PEN" totalsRowFunction="sum" dataDxfId="11" totalsRowDxfId="10" dataCellStyle="Millares 5"/>
    <tableColumn id="8" xr3:uid="{5AD57840-16B5-4C7C-A281-C0BC638A8C74}" name="FechaVcto" dataDxfId="9" totalsRowDxfId="8"/>
    <tableColumn id="9" xr3:uid="{D6E26C8B-F0EA-492A-9808-16A36FF65BB4}" name="Comentario"/>
    <tableColumn id="10" xr3:uid="{B3AF8345-7BFA-4FC4-8FB8-AF16A18963E0}" name="Detalle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C22AFB-0C8C-4DA8-B6FD-E6BE974ED856}" name="Proveedor_Pendientes4" displayName="Proveedor_Pendientes4" ref="A1:J274" tableType="queryTable" totalsRowCount="1">
  <sortState xmlns:xlrd2="http://schemas.microsoft.com/office/spreadsheetml/2017/richdata2" ref="A2:J84">
    <sortCondition ref="H1:H273"/>
  </sortState>
  <tableColumns count="10">
    <tableColumn id="1" xr3:uid="{C2739000-369A-458B-8516-7D4C5FA21D1D}" uniqueName="1" name="File" queryTableFieldId="1" dataDxfId="7"/>
    <tableColumn id="12" xr3:uid="{2941ED5F-DC2E-4E23-8D01-E8F8023CA262}" uniqueName="12" name="FechaEmision" queryTableFieldId="12" dataDxfId="6" totalsRowDxfId="5"/>
    <tableColumn id="2" xr3:uid="{DF3CE4D7-DF37-45E3-916B-F00551147167}" uniqueName="2" name="Tipo" queryTableFieldId="2"/>
    <tableColumn id="3" xr3:uid="{66FB3EA1-2035-4CA3-A3C5-5AC48A744A6E}" uniqueName="3" name="Proveedor" queryTableFieldId="3"/>
    <tableColumn id="4" xr3:uid="{DCBC5FAB-A744-4457-B039-E95FE3E150D6}" uniqueName="4" name="Solicitud" queryTableFieldId="4"/>
    <tableColumn id="13" xr3:uid="{7F5D63B9-9214-44D7-98C1-0AFE7D62B080}" uniqueName="13" name="USD" queryTableFieldId="13" dataDxfId="4" dataCellStyle="Millares"/>
    <tableColumn id="14" xr3:uid="{6D401709-6037-416F-835C-C395F28F682B}" uniqueName="14" name="PEN" queryTableFieldId="14" dataDxfId="3" dataCellStyle="Millares"/>
    <tableColumn id="9" xr3:uid="{1315393B-B3CB-4640-8036-899A481E4BF8}" uniqueName="9" name="FechaVcto" queryTableFieldId="9" dataDxfId="2" totalsRowDxfId="1"/>
    <tableColumn id="15" xr3:uid="{628485E2-7AE6-49F9-8CFB-AAE29D8CF5CF}" uniqueName="15" name="Comentario" queryTableFieldId="15" dataDxfId="0"/>
    <tableColumn id="11" xr3:uid="{1E25BA5A-EEA8-4A48-A780-5078BCCEFDA9}" uniqueName="11" name="Detalle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4BCDC-ADC0-410D-A8F5-ED0C4B3CAE9A}" name="Proveedor_Pendientes" displayName="Proveedor_Pendientes" ref="A1:J270" tableType="queryTable">
  <autoFilter ref="A1:J270" xr:uid="{B7B4BCDC-ADC0-410D-A8F5-ED0C4B3CAE9A}">
    <filterColumn colId="8">
      <filters blank="1">
        <filter val="CREDITO"/>
        <filter val="E001-1228 / NO COINCIDE SOL DE PAGO $177.38"/>
        <filter val="E001-1229 / NO COINCIDE SOL DE PAGO $124.51"/>
        <filter val="E001-1846 / NO COINCIDE CON SOL DE PAGO"/>
        <filter val="E001-635"/>
        <filter val="FACTURA F002-23975"/>
        <filter val="Pendiente envío de factura"/>
        <filter val="PROGRAMAR"/>
        <filter val="REVISAR"/>
        <filter val="SE PAGÓ ADELANTO, DEBE ENVIAR FACTURA"/>
      </filters>
    </filterColumn>
  </autoFilter>
  <sortState xmlns:xlrd2="http://schemas.microsoft.com/office/spreadsheetml/2017/richdata2" ref="A3:J89">
    <sortCondition ref="H1:H270"/>
  </sortState>
  <tableColumns count="10">
    <tableColumn id="1" xr3:uid="{FB844571-BB0F-4901-A7F0-6CACE22D415B}" uniqueName="1" name="File" queryTableFieldId="1" dataDxfId="28"/>
    <tableColumn id="12" xr3:uid="{191304F4-05ED-45C9-A62E-9273CC139988}" uniqueName="12" name="FechaEmision" queryTableFieldId="12" dataDxfId="27" totalsRowDxfId="26"/>
    <tableColumn id="2" xr3:uid="{C80644DC-85F6-4929-B49E-C8DC2DCFBD8F}" uniqueName="2" name="Tipo" queryTableFieldId="2"/>
    <tableColumn id="3" xr3:uid="{F508B7BA-18B6-4CD4-A5C8-B17F0D64ED2A}" uniqueName="3" name="Proveedor" queryTableFieldId="3"/>
    <tableColumn id="4" xr3:uid="{24A7B451-FC00-46CB-B7BA-0342F8F706F1}" uniqueName="4" name="Solicitud" queryTableFieldId="4"/>
    <tableColumn id="13" xr3:uid="{6D57F850-AC98-431B-BA4B-9B084145733B}" uniqueName="13" name="USD" queryTableFieldId="13" dataDxfId="25" dataCellStyle="Millares"/>
    <tableColumn id="14" xr3:uid="{F21298C3-3897-47B6-B52C-DC2CFF5660D3}" uniqueName="14" name="PEN" queryTableFieldId="14" dataDxfId="24" dataCellStyle="Millares"/>
    <tableColumn id="9" xr3:uid="{997B3AC7-5CC8-4C53-9202-A3C2086DB66F}" uniqueName="9" name="FechaVcto" queryTableFieldId="9" dataDxfId="23" totalsRowDxfId="22"/>
    <tableColumn id="15" xr3:uid="{CA9E9998-DE12-46BE-BC07-D0BE6495AF22}" uniqueName="15" name="Comentario" queryTableFieldId="15" dataDxfId="21"/>
    <tableColumn id="11" xr3:uid="{D27098BF-9D24-431A-B69C-6B4E3315C9E0}" uniqueName="11" name="Detall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D8CF-6E0E-47CD-9DFC-F91B938784F8}">
  <dimension ref="A1:J334"/>
  <sheetViews>
    <sheetView showGridLines="0" workbookViewId="0">
      <selection activeCell="E14" sqref="E14"/>
    </sheetView>
  </sheetViews>
  <sheetFormatPr baseColWidth="10" defaultRowHeight="15" x14ac:dyDescent="0.25"/>
  <cols>
    <col min="2" max="2" width="15.7109375" customWidth="1"/>
    <col min="4" max="4" width="59.140625" bestFit="1" customWidth="1"/>
    <col min="8" max="8" width="12.42578125" customWidth="1"/>
    <col min="9" max="9" width="63.28515625" customWidth="1"/>
    <col min="10" max="10" width="67" customWidth="1"/>
  </cols>
  <sheetData>
    <row r="1" spans="1:10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11</v>
      </c>
      <c r="G1" t="s">
        <v>739</v>
      </c>
      <c r="H1" t="s">
        <v>4</v>
      </c>
      <c r="I1" t="s">
        <v>403</v>
      </c>
      <c r="J1" t="s">
        <v>5</v>
      </c>
    </row>
    <row r="2" spans="1:10" x14ac:dyDescent="0.25">
      <c r="A2" t="s">
        <v>42</v>
      </c>
      <c r="B2" s="1">
        <v>46113</v>
      </c>
      <c r="C2" t="s">
        <v>43</v>
      </c>
      <c r="D2" t="s">
        <v>44</v>
      </c>
      <c r="E2" t="s">
        <v>45</v>
      </c>
      <c r="F2" s="6">
        <v>65</v>
      </c>
      <c r="G2" s="6"/>
      <c r="H2" s="1">
        <v>46155</v>
      </c>
      <c r="I2" t="s">
        <v>697</v>
      </c>
      <c r="J2" t="s">
        <v>46</v>
      </c>
    </row>
    <row r="3" spans="1:10" x14ac:dyDescent="0.25">
      <c r="A3" t="s">
        <v>180</v>
      </c>
      <c r="B3" s="1">
        <v>46233</v>
      </c>
      <c r="C3" t="s">
        <v>43</v>
      </c>
      <c r="D3" t="s">
        <v>181</v>
      </c>
      <c r="E3" t="s">
        <v>182</v>
      </c>
      <c r="F3" s="6">
        <v>764</v>
      </c>
      <c r="G3" s="6"/>
      <c r="H3" s="1">
        <v>46203</v>
      </c>
      <c r="I3" t="s">
        <v>697</v>
      </c>
      <c r="J3" t="s">
        <v>183</v>
      </c>
    </row>
    <row r="4" spans="1:10" x14ac:dyDescent="0.25">
      <c r="A4" t="s">
        <v>184</v>
      </c>
      <c r="B4" s="1">
        <v>46176</v>
      </c>
      <c r="C4" t="s">
        <v>43</v>
      </c>
      <c r="D4" t="s">
        <v>44</v>
      </c>
      <c r="E4" t="s">
        <v>185</v>
      </c>
      <c r="F4" s="6">
        <v>65</v>
      </c>
      <c r="G4" s="6"/>
      <c r="H4" s="1">
        <v>46204</v>
      </c>
      <c r="I4" t="s">
        <v>697</v>
      </c>
      <c r="J4" t="s">
        <v>186</v>
      </c>
    </row>
    <row r="5" spans="1:10" x14ac:dyDescent="0.25">
      <c r="A5" t="s">
        <v>198</v>
      </c>
      <c r="B5" s="1">
        <v>46184</v>
      </c>
      <c r="C5" t="s">
        <v>43</v>
      </c>
      <c r="D5" t="s">
        <v>160</v>
      </c>
      <c r="E5" t="s">
        <v>199</v>
      </c>
      <c r="F5" s="6">
        <v>28.32</v>
      </c>
      <c r="G5" s="6"/>
      <c r="H5" s="1">
        <v>46211</v>
      </c>
      <c r="J5" t="s">
        <v>200</v>
      </c>
    </row>
    <row r="6" spans="1:10" x14ac:dyDescent="0.25">
      <c r="A6" t="s">
        <v>159</v>
      </c>
      <c r="B6" s="1">
        <v>46178</v>
      </c>
      <c r="C6" t="s">
        <v>43</v>
      </c>
      <c r="D6" t="s">
        <v>201</v>
      </c>
      <c r="E6" t="s">
        <v>202</v>
      </c>
      <c r="F6" s="6">
        <v>657.68</v>
      </c>
      <c r="G6" s="6"/>
      <c r="H6" s="1">
        <v>46211</v>
      </c>
      <c r="I6" t="s">
        <v>736</v>
      </c>
      <c r="J6" t="s">
        <v>203</v>
      </c>
    </row>
    <row r="7" spans="1:10" x14ac:dyDescent="0.25">
      <c r="A7" t="s">
        <v>204</v>
      </c>
      <c r="B7" s="1">
        <v>46211</v>
      </c>
      <c r="C7" t="s">
        <v>43</v>
      </c>
      <c r="D7" t="s">
        <v>205</v>
      </c>
      <c r="E7" t="s">
        <v>206</v>
      </c>
      <c r="F7" s="6">
        <v>60</v>
      </c>
      <c r="G7" s="6"/>
      <c r="H7" s="1">
        <v>46211</v>
      </c>
      <c r="J7" t="s">
        <v>207</v>
      </c>
    </row>
    <row r="8" spans="1:10" x14ac:dyDescent="0.25">
      <c r="A8" t="s">
        <v>184</v>
      </c>
      <c r="B8" s="1">
        <v>46163</v>
      </c>
      <c r="C8" t="s">
        <v>43</v>
      </c>
      <c r="D8" t="s">
        <v>160</v>
      </c>
      <c r="E8" t="s">
        <v>210</v>
      </c>
      <c r="F8" s="6">
        <v>66.08</v>
      </c>
      <c r="G8" s="6"/>
      <c r="H8" s="1">
        <v>46213</v>
      </c>
      <c r="J8" t="s">
        <v>211</v>
      </c>
    </row>
    <row r="9" spans="1:10" x14ac:dyDescent="0.25">
      <c r="A9" t="s">
        <v>212</v>
      </c>
      <c r="B9" s="1">
        <v>46204</v>
      </c>
      <c r="C9" t="s">
        <v>43</v>
      </c>
      <c r="D9" t="s">
        <v>201</v>
      </c>
      <c r="E9" t="s">
        <v>213</v>
      </c>
      <c r="F9" s="6">
        <v>467.56</v>
      </c>
      <c r="G9" s="6"/>
      <c r="H9" s="1">
        <v>46213</v>
      </c>
      <c r="J9" t="s">
        <v>214</v>
      </c>
    </row>
    <row r="10" spans="1:10" x14ac:dyDescent="0.25">
      <c r="A10" t="s">
        <v>204</v>
      </c>
      <c r="B10" s="1">
        <v>46219</v>
      </c>
      <c r="C10" t="s">
        <v>43</v>
      </c>
      <c r="D10" t="s">
        <v>240</v>
      </c>
      <c r="E10" t="s">
        <v>241</v>
      </c>
      <c r="F10" s="6"/>
      <c r="G10" s="6">
        <v>528.5</v>
      </c>
      <c r="H10" s="1">
        <v>46220</v>
      </c>
      <c r="J10" t="s">
        <v>242</v>
      </c>
    </row>
    <row r="11" spans="1:10" x14ac:dyDescent="0.25">
      <c r="A11" t="s">
        <v>184</v>
      </c>
      <c r="B11" s="1">
        <v>46216</v>
      </c>
      <c r="C11" t="s">
        <v>43</v>
      </c>
      <c r="D11" t="s">
        <v>237</v>
      </c>
      <c r="E11" t="s">
        <v>243</v>
      </c>
      <c r="F11" s="6">
        <v>112</v>
      </c>
      <c r="G11" s="6"/>
      <c r="H11" s="1">
        <v>46220</v>
      </c>
      <c r="J11" t="s">
        <v>244</v>
      </c>
    </row>
    <row r="12" spans="1:10" x14ac:dyDescent="0.25">
      <c r="A12" t="s">
        <v>198</v>
      </c>
      <c r="B12" s="1">
        <v>46184</v>
      </c>
      <c r="C12" t="s">
        <v>43</v>
      </c>
      <c r="D12" t="s">
        <v>17</v>
      </c>
      <c r="E12" t="s">
        <v>281</v>
      </c>
      <c r="F12" s="6">
        <v>115.64</v>
      </c>
      <c r="G12" s="6"/>
      <c r="H12" s="1">
        <v>46222</v>
      </c>
      <c r="J12" t="s">
        <v>282</v>
      </c>
    </row>
    <row r="13" spans="1:10" x14ac:dyDescent="0.25">
      <c r="A13" t="s">
        <v>287</v>
      </c>
      <c r="B13" s="1">
        <v>46227</v>
      </c>
      <c r="C13" t="s">
        <v>43</v>
      </c>
      <c r="D13" t="s">
        <v>17</v>
      </c>
      <c r="E13" t="s">
        <v>288</v>
      </c>
      <c r="F13" s="6">
        <v>417.72</v>
      </c>
      <c r="G13" s="6"/>
      <c r="H13" s="1">
        <v>46225</v>
      </c>
      <c r="J13" t="s">
        <v>289</v>
      </c>
    </row>
    <row r="14" spans="1:10" x14ac:dyDescent="0.25">
      <c r="A14" t="s">
        <v>348</v>
      </c>
      <c r="B14" s="1">
        <v>46233</v>
      </c>
      <c r="C14" t="s">
        <v>43</v>
      </c>
      <c r="D14" t="s">
        <v>349</v>
      </c>
      <c r="E14" t="s">
        <v>350</v>
      </c>
      <c r="F14" s="6">
        <v>520</v>
      </c>
      <c r="G14" s="6"/>
      <c r="H14" s="1">
        <v>46232</v>
      </c>
      <c r="I14" t="s">
        <v>697</v>
      </c>
      <c r="J14" t="s">
        <v>351</v>
      </c>
    </row>
    <row r="15" spans="1:10" x14ac:dyDescent="0.25">
      <c r="A15" t="s">
        <v>290</v>
      </c>
      <c r="B15" s="1">
        <v>46181</v>
      </c>
      <c r="C15" t="s">
        <v>43</v>
      </c>
      <c r="D15" t="s">
        <v>339</v>
      </c>
      <c r="E15" t="s">
        <v>352</v>
      </c>
      <c r="F15" s="6"/>
      <c r="G15" s="6">
        <v>120</v>
      </c>
      <c r="H15" s="1">
        <v>46232</v>
      </c>
      <c r="I15" t="s">
        <v>697</v>
      </c>
      <c r="J15" t="s">
        <v>353</v>
      </c>
    </row>
    <row r="16" spans="1:10" x14ac:dyDescent="0.25">
      <c r="A16" t="s">
        <v>287</v>
      </c>
      <c r="B16" s="1">
        <v>46227</v>
      </c>
      <c r="C16" t="s">
        <v>43</v>
      </c>
      <c r="D16" t="s">
        <v>17</v>
      </c>
      <c r="E16" t="s">
        <v>355</v>
      </c>
      <c r="F16" s="6">
        <v>417.72</v>
      </c>
      <c r="G16" s="6"/>
      <c r="H16" s="1">
        <v>46232</v>
      </c>
      <c r="J16" t="s">
        <v>289</v>
      </c>
    </row>
    <row r="17" spans="1:10" x14ac:dyDescent="0.25">
      <c r="A17" t="s">
        <v>180</v>
      </c>
      <c r="B17" s="1">
        <v>46233</v>
      </c>
      <c r="C17" t="s">
        <v>43</v>
      </c>
      <c r="D17" t="s">
        <v>361</v>
      </c>
      <c r="E17" t="s">
        <v>362</v>
      </c>
      <c r="F17" s="6"/>
      <c r="G17" s="6">
        <v>651</v>
      </c>
      <c r="H17" s="1">
        <v>46233</v>
      </c>
      <c r="I17" t="s">
        <v>697</v>
      </c>
      <c r="J17" t="s">
        <v>363</v>
      </c>
    </row>
    <row r="18" spans="1:10" x14ac:dyDescent="0.25">
      <c r="A18" t="s">
        <v>180</v>
      </c>
      <c r="B18" s="1">
        <v>46233</v>
      </c>
      <c r="C18" t="s">
        <v>43</v>
      </c>
      <c r="D18" t="s">
        <v>361</v>
      </c>
      <c r="E18" t="s">
        <v>364</v>
      </c>
      <c r="F18" s="6">
        <v>15</v>
      </c>
      <c r="G18" s="6"/>
      <c r="H18" s="1">
        <v>46233</v>
      </c>
      <c r="I18" t="s">
        <v>697</v>
      </c>
      <c r="J18" t="s">
        <v>365</v>
      </c>
    </row>
    <row r="19" spans="1:10" x14ac:dyDescent="0.25">
      <c r="A19" s="8" t="s">
        <v>366</v>
      </c>
      <c r="B19" s="9">
        <v>46209</v>
      </c>
      <c r="C19" s="8" t="s">
        <v>43</v>
      </c>
      <c r="D19" s="8" t="s">
        <v>17</v>
      </c>
      <c r="E19" s="8" t="s">
        <v>367</v>
      </c>
      <c r="F19" s="10">
        <v>86.14</v>
      </c>
      <c r="G19" s="10"/>
      <c r="H19" s="9">
        <v>46233</v>
      </c>
      <c r="I19" s="8" t="s">
        <v>790</v>
      </c>
      <c r="J19" s="8" t="s">
        <v>368</v>
      </c>
    </row>
    <row r="20" spans="1:10" x14ac:dyDescent="0.25">
      <c r="A20" t="s">
        <v>366</v>
      </c>
      <c r="B20" s="1">
        <v>46234</v>
      </c>
      <c r="C20" t="s">
        <v>43</v>
      </c>
      <c r="D20" t="s">
        <v>371</v>
      </c>
      <c r="E20" t="s">
        <v>372</v>
      </c>
      <c r="F20" s="6">
        <v>1510.4</v>
      </c>
      <c r="G20" s="6"/>
      <c r="H20" s="1">
        <v>46234</v>
      </c>
      <c r="I20" t="s">
        <v>697</v>
      </c>
      <c r="J20" t="s">
        <v>373</v>
      </c>
    </row>
    <row r="21" spans="1:10" x14ac:dyDescent="0.25">
      <c r="A21" t="s">
        <v>366</v>
      </c>
      <c r="B21" s="1">
        <v>46233</v>
      </c>
      <c r="C21" t="s">
        <v>43</v>
      </c>
      <c r="D21" t="s">
        <v>374</v>
      </c>
      <c r="E21" t="s">
        <v>375</v>
      </c>
      <c r="F21" s="6"/>
      <c r="G21" s="6">
        <v>200</v>
      </c>
      <c r="H21" s="1">
        <v>46234</v>
      </c>
      <c r="I21" t="s">
        <v>697</v>
      </c>
      <c r="J21" t="s">
        <v>376</v>
      </c>
    </row>
    <row r="22" spans="1:10" x14ac:dyDescent="0.25">
      <c r="A22" t="s">
        <v>366</v>
      </c>
      <c r="B22" s="1">
        <v>46209</v>
      </c>
      <c r="C22" t="s">
        <v>43</v>
      </c>
      <c r="D22" t="s">
        <v>377</v>
      </c>
      <c r="E22" t="s">
        <v>378</v>
      </c>
      <c r="F22" s="6"/>
      <c r="G22" s="6">
        <v>520.38</v>
      </c>
      <c r="H22" s="1">
        <v>46234</v>
      </c>
      <c r="I22" t="s">
        <v>697</v>
      </c>
      <c r="J22" t="s">
        <v>379</v>
      </c>
    </row>
    <row r="23" spans="1:10" x14ac:dyDescent="0.25">
      <c r="A23" t="s">
        <v>159</v>
      </c>
      <c r="B23" s="1">
        <v>46178</v>
      </c>
      <c r="C23" t="s">
        <v>43</v>
      </c>
      <c r="D23" t="s">
        <v>9</v>
      </c>
      <c r="E23" t="s">
        <v>410</v>
      </c>
      <c r="F23" s="6">
        <v>227.5</v>
      </c>
      <c r="G23" s="6"/>
      <c r="H23" s="1">
        <v>46236</v>
      </c>
      <c r="I23" t="s">
        <v>789</v>
      </c>
      <c r="J23" t="s">
        <v>411</v>
      </c>
    </row>
    <row r="24" spans="1:10" x14ac:dyDescent="0.25">
      <c r="A24" t="s">
        <v>198</v>
      </c>
      <c r="B24" s="1">
        <v>46184</v>
      </c>
      <c r="C24" t="s">
        <v>43</v>
      </c>
      <c r="D24" t="s">
        <v>160</v>
      </c>
      <c r="E24" t="s">
        <v>414</v>
      </c>
      <c r="F24" s="6">
        <v>66.08</v>
      </c>
      <c r="G24" s="6"/>
      <c r="H24" s="1">
        <v>46237</v>
      </c>
      <c r="I24" t="s">
        <v>789</v>
      </c>
      <c r="J24" t="s">
        <v>200</v>
      </c>
    </row>
    <row r="25" spans="1:10" x14ac:dyDescent="0.25">
      <c r="A25" t="s">
        <v>348</v>
      </c>
      <c r="B25" s="1">
        <v>46203</v>
      </c>
      <c r="C25" t="s">
        <v>43</v>
      </c>
      <c r="D25" t="s">
        <v>273</v>
      </c>
      <c r="E25" t="s">
        <v>415</v>
      </c>
      <c r="F25" s="6">
        <v>448.8</v>
      </c>
      <c r="G25" s="6"/>
      <c r="H25" s="1">
        <v>46237</v>
      </c>
      <c r="I25" t="s">
        <v>700</v>
      </c>
      <c r="J25" t="s">
        <v>416</v>
      </c>
    </row>
    <row r="26" spans="1:10" x14ac:dyDescent="0.25">
      <c r="A26" t="s">
        <v>180</v>
      </c>
      <c r="B26" s="1">
        <v>46237</v>
      </c>
      <c r="C26" t="s">
        <v>43</v>
      </c>
      <c r="D26" t="s">
        <v>417</v>
      </c>
      <c r="E26" t="s">
        <v>418</v>
      </c>
      <c r="F26" s="6"/>
      <c r="G26" s="6">
        <v>500</v>
      </c>
      <c r="H26" s="1">
        <v>46237</v>
      </c>
      <c r="I26" t="s">
        <v>697</v>
      </c>
      <c r="J26" t="s">
        <v>419</v>
      </c>
    </row>
    <row r="27" spans="1:10" x14ac:dyDescent="0.25">
      <c r="A27" t="s">
        <v>180</v>
      </c>
      <c r="B27" s="1">
        <v>46237</v>
      </c>
      <c r="C27" t="s">
        <v>43</v>
      </c>
      <c r="D27" t="s">
        <v>417</v>
      </c>
      <c r="E27" t="s">
        <v>420</v>
      </c>
      <c r="F27" s="6"/>
      <c r="G27" s="6">
        <v>500</v>
      </c>
      <c r="H27" s="1">
        <v>46237</v>
      </c>
      <c r="I27" t="s">
        <v>697</v>
      </c>
      <c r="J27" t="s">
        <v>419</v>
      </c>
    </row>
    <row r="28" spans="1:10" x14ac:dyDescent="0.25">
      <c r="A28" t="s">
        <v>180</v>
      </c>
      <c r="B28" s="1">
        <v>46237</v>
      </c>
      <c r="C28" t="s">
        <v>43</v>
      </c>
      <c r="D28" t="s">
        <v>417</v>
      </c>
      <c r="E28" t="s">
        <v>421</v>
      </c>
      <c r="F28" s="6"/>
      <c r="G28" s="6">
        <v>605.9</v>
      </c>
      <c r="H28" s="1">
        <v>46237</v>
      </c>
      <c r="I28" t="s">
        <v>697</v>
      </c>
      <c r="J28" t="s">
        <v>422</v>
      </c>
    </row>
    <row r="29" spans="1:10" x14ac:dyDescent="0.25">
      <c r="A29" t="s">
        <v>180</v>
      </c>
      <c r="B29" s="1">
        <v>46237</v>
      </c>
      <c r="C29" t="s">
        <v>43</v>
      </c>
      <c r="D29" t="s">
        <v>417</v>
      </c>
      <c r="E29" t="s">
        <v>423</v>
      </c>
      <c r="F29" s="6"/>
      <c r="G29" s="6">
        <v>605.89</v>
      </c>
      <c r="H29" s="1">
        <v>46237</v>
      </c>
      <c r="I29" t="s">
        <v>697</v>
      </c>
      <c r="J29" t="s">
        <v>422</v>
      </c>
    </row>
    <row r="30" spans="1:10" x14ac:dyDescent="0.25">
      <c r="A30" t="s">
        <v>366</v>
      </c>
      <c r="B30" s="1">
        <v>46237</v>
      </c>
      <c r="C30" t="s">
        <v>43</v>
      </c>
      <c r="D30" t="s">
        <v>424</v>
      </c>
      <c r="E30" t="s">
        <v>425</v>
      </c>
      <c r="F30" s="6"/>
      <c r="G30" s="6">
        <v>80</v>
      </c>
      <c r="H30" s="1">
        <v>46237</v>
      </c>
      <c r="I30" t="s">
        <v>697</v>
      </c>
      <c r="J30" t="s">
        <v>426</v>
      </c>
    </row>
    <row r="31" spans="1:10" x14ac:dyDescent="0.25">
      <c r="A31" t="s">
        <v>366</v>
      </c>
      <c r="B31" s="1">
        <v>46237</v>
      </c>
      <c r="C31" t="s">
        <v>43</v>
      </c>
      <c r="D31" t="s">
        <v>427</v>
      </c>
      <c r="E31" t="s">
        <v>428</v>
      </c>
      <c r="F31" s="6"/>
      <c r="G31" s="6">
        <v>320</v>
      </c>
      <c r="H31" s="1">
        <v>46237</v>
      </c>
      <c r="I31" t="s">
        <v>697</v>
      </c>
      <c r="J31" t="s">
        <v>429</v>
      </c>
    </row>
    <row r="32" spans="1:10" x14ac:dyDescent="0.25">
      <c r="A32" t="s">
        <v>180</v>
      </c>
      <c r="B32" s="1">
        <v>46238</v>
      </c>
      <c r="C32" t="s">
        <v>43</v>
      </c>
      <c r="D32" t="s">
        <v>430</v>
      </c>
      <c r="E32" t="s">
        <v>431</v>
      </c>
      <c r="F32" s="6"/>
      <c r="G32" s="6">
        <v>20</v>
      </c>
      <c r="H32" s="1">
        <v>46238</v>
      </c>
      <c r="I32" t="s">
        <v>697</v>
      </c>
      <c r="J32" t="s">
        <v>432</v>
      </c>
    </row>
    <row r="33" spans="1:10" x14ac:dyDescent="0.25">
      <c r="A33" t="s">
        <v>180</v>
      </c>
      <c r="B33" s="1">
        <v>46238</v>
      </c>
      <c r="C33" t="s">
        <v>43</v>
      </c>
      <c r="D33" t="s">
        <v>433</v>
      </c>
      <c r="E33" t="s">
        <v>434</v>
      </c>
      <c r="F33" s="6">
        <v>154.36000000000001</v>
      </c>
      <c r="G33" s="6"/>
      <c r="H33" s="1">
        <v>46238</v>
      </c>
      <c r="I33" t="s">
        <v>697</v>
      </c>
      <c r="J33" t="s">
        <v>435</v>
      </c>
    </row>
    <row r="34" spans="1:10" x14ac:dyDescent="0.25">
      <c r="A34" t="s">
        <v>180</v>
      </c>
      <c r="B34" s="1">
        <v>46238</v>
      </c>
      <c r="C34" t="s">
        <v>43</v>
      </c>
      <c r="D34" t="s">
        <v>433</v>
      </c>
      <c r="E34" t="s">
        <v>436</v>
      </c>
      <c r="F34" s="6">
        <v>299.64</v>
      </c>
      <c r="G34" s="6"/>
      <c r="H34" s="1">
        <v>46238</v>
      </c>
      <c r="I34" t="s">
        <v>697</v>
      </c>
      <c r="J34" t="s">
        <v>435</v>
      </c>
    </row>
    <row r="35" spans="1:10" x14ac:dyDescent="0.25">
      <c r="A35" t="s">
        <v>180</v>
      </c>
      <c r="B35" s="1">
        <v>46238</v>
      </c>
      <c r="C35" t="s">
        <v>43</v>
      </c>
      <c r="D35" t="s">
        <v>437</v>
      </c>
      <c r="E35" t="s">
        <v>438</v>
      </c>
      <c r="F35" s="6">
        <v>545</v>
      </c>
      <c r="G35" s="6"/>
      <c r="H35" s="1">
        <v>46238</v>
      </c>
      <c r="I35" t="s">
        <v>697</v>
      </c>
      <c r="J35" t="s">
        <v>439</v>
      </c>
    </row>
    <row r="36" spans="1:10" x14ac:dyDescent="0.25">
      <c r="A36" t="s">
        <v>180</v>
      </c>
      <c r="B36" s="1">
        <v>46238</v>
      </c>
      <c r="C36" t="s">
        <v>43</v>
      </c>
      <c r="D36" t="s">
        <v>437</v>
      </c>
      <c r="E36" t="s">
        <v>440</v>
      </c>
      <c r="F36" s="6">
        <v>95</v>
      </c>
      <c r="G36" s="6"/>
      <c r="H36" s="1">
        <v>46238</v>
      </c>
      <c r="I36" t="s">
        <v>697</v>
      </c>
      <c r="J36" t="s">
        <v>441</v>
      </c>
    </row>
    <row r="37" spans="1:10" x14ac:dyDescent="0.25">
      <c r="A37" t="s">
        <v>442</v>
      </c>
      <c r="B37" s="1">
        <v>46237</v>
      </c>
      <c r="C37" t="s">
        <v>43</v>
      </c>
      <c r="D37" t="s">
        <v>443</v>
      </c>
      <c r="E37" t="s">
        <v>444</v>
      </c>
      <c r="F37" s="6">
        <v>2578</v>
      </c>
      <c r="G37" s="6"/>
      <c r="H37" s="1">
        <v>46238</v>
      </c>
      <c r="I37" t="s">
        <v>697</v>
      </c>
      <c r="J37" t="s">
        <v>445</v>
      </c>
    </row>
    <row r="38" spans="1:10" x14ac:dyDescent="0.25">
      <c r="A38" s="2" t="s">
        <v>446</v>
      </c>
      <c r="B38" s="3">
        <v>46234</v>
      </c>
      <c r="C38" s="2" t="s">
        <v>43</v>
      </c>
      <c r="D38" s="2" t="s">
        <v>447</v>
      </c>
      <c r="E38" s="2" t="s">
        <v>448</v>
      </c>
      <c r="F38" s="7"/>
      <c r="G38" s="7">
        <v>730</v>
      </c>
      <c r="H38" s="3">
        <v>46239</v>
      </c>
      <c r="I38" s="2"/>
      <c r="J38" s="2" t="s">
        <v>449</v>
      </c>
    </row>
    <row r="39" spans="1:10" x14ac:dyDescent="0.25">
      <c r="A39" s="2" t="s">
        <v>287</v>
      </c>
      <c r="B39" s="3">
        <v>46230</v>
      </c>
      <c r="C39" s="2" t="s">
        <v>43</v>
      </c>
      <c r="D39" s="2" t="s">
        <v>451</v>
      </c>
      <c r="E39" s="2" t="s">
        <v>452</v>
      </c>
      <c r="F39" s="7">
        <v>332.76</v>
      </c>
      <c r="G39" s="7"/>
      <c r="H39" s="3">
        <v>46239</v>
      </c>
      <c r="I39" s="2" t="s">
        <v>791</v>
      </c>
      <c r="J39" s="2" t="s">
        <v>453</v>
      </c>
    </row>
    <row r="40" spans="1:10" x14ac:dyDescent="0.25">
      <c r="A40" t="s">
        <v>348</v>
      </c>
      <c r="B40" s="1">
        <v>46233</v>
      </c>
      <c r="C40" t="s">
        <v>43</v>
      </c>
      <c r="D40" t="s">
        <v>349</v>
      </c>
      <c r="E40" t="s">
        <v>454</v>
      </c>
      <c r="F40" s="6">
        <v>62</v>
      </c>
      <c r="G40" s="6"/>
      <c r="H40" s="1">
        <v>46239</v>
      </c>
      <c r="I40" t="s">
        <v>697</v>
      </c>
      <c r="J40" t="s">
        <v>455</v>
      </c>
    </row>
    <row r="41" spans="1:10" x14ac:dyDescent="0.25">
      <c r="A41" t="s">
        <v>446</v>
      </c>
      <c r="B41" s="1">
        <v>46238</v>
      </c>
      <c r="C41" t="s">
        <v>43</v>
      </c>
      <c r="D41" t="s">
        <v>266</v>
      </c>
      <c r="E41" t="s">
        <v>456</v>
      </c>
      <c r="F41" s="6">
        <v>365.9</v>
      </c>
      <c r="G41" s="6"/>
      <c r="H41" s="1">
        <v>46239</v>
      </c>
      <c r="I41" t="s">
        <v>698</v>
      </c>
      <c r="J41" t="s">
        <v>457</v>
      </c>
    </row>
    <row r="42" spans="1:10" x14ac:dyDescent="0.25">
      <c r="A42" t="s">
        <v>366</v>
      </c>
      <c r="B42" s="1">
        <v>46239</v>
      </c>
      <c r="C42" t="s">
        <v>43</v>
      </c>
      <c r="D42" t="s">
        <v>427</v>
      </c>
      <c r="E42" t="s">
        <v>458</v>
      </c>
      <c r="F42" s="6"/>
      <c r="G42" s="6">
        <v>95</v>
      </c>
      <c r="H42" s="1">
        <v>46239</v>
      </c>
      <c r="I42" t="s">
        <v>697</v>
      </c>
      <c r="J42" t="s">
        <v>459</v>
      </c>
    </row>
    <row r="43" spans="1:10" x14ac:dyDescent="0.25">
      <c r="A43" t="s">
        <v>467</v>
      </c>
      <c r="B43" s="1">
        <v>46127</v>
      </c>
      <c r="C43" t="s">
        <v>43</v>
      </c>
      <c r="D43" t="s">
        <v>160</v>
      </c>
      <c r="E43" t="s">
        <v>468</v>
      </c>
      <c r="F43" s="6">
        <v>3382.47</v>
      </c>
      <c r="G43" s="6"/>
      <c r="H43" s="1">
        <v>46241</v>
      </c>
      <c r="I43" t="s">
        <v>699</v>
      </c>
      <c r="J43" t="s">
        <v>469</v>
      </c>
    </row>
    <row r="44" spans="1:10" x14ac:dyDescent="0.25">
      <c r="A44" t="s">
        <v>467</v>
      </c>
      <c r="B44" s="1">
        <v>46127</v>
      </c>
      <c r="C44" t="s">
        <v>43</v>
      </c>
      <c r="D44" t="s">
        <v>377</v>
      </c>
      <c r="E44" t="s">
        <v>470</v>
      </c>
      <c r="F44" s="6"/>
      <c r="G44" s="6">
        <v>4830</v>
      </c>
      <c r="H44" s="1">
        <v>46241</v>
      </c>
      <c r="I44" t="s">
        <v>792</v>
      </c>
      <c r="J44" t="s">
        <v>471</v>
      </c>
    </row>
    <row r="45" spans="1:10" x14ac:dyDescent="0.25">
      <c r="A45" s="2" t="s">
        <v>467</v>
      </c>
      <c r="B45" s="3">
        <v>46241</v>
      </c>
      <c r="C45" s="2" t="s">
        <v>43</v>
      </c>
      <c r="D45" s="2" t="s">
        <v>205</v>
      </c>
      <c r="E45" s="2" t="s">
        <v>518</v>
      </c>
      <c r="F45" s="7">
        <v>210</v>
      </c>
      <c r="G45" s="7"/>
      <c r="H45" s="3">
        <v>46244</v>
      </c>
      <c r="I45" s="2"/>
      <c r="J45" s="2" t="s">
        <v>519</v>
      </c>
    </row>
    <row r="46" spans="1:10" x14ac:dyDescent="0.25">
      <c r="A46" t="s">
        <v>467</v>
      </c>
      <c r="B46" s="1">
        <v>46241</v>
      </c>
      <c r="C46" t="s">
        <v>43</v>
      </c>
      <c r="D46" t="s">
        <v>17</v>
      </c>
      <c r="E46" t="s">
        <v>520</v>
      </c>
      <c r="F46" s="6">
        <v>120.95</v>
      </c>
      <c r="G46" s="6"/>
      <c r="H46" s="1">
        <v>46244</v>
      </c>
      <c r="J46" t="s">
        <v>521</v>
      </c>
    </row>
    <row r="47" spans="1:10" x14ac:dyDescent="0.25">
      <c r="A47" t="s">
        <v>348</v>
      </c>
      <c r="B47" s="1">
        <v>46245</v>
      </c>
      <c r="C47" t="s">
        <v>43</v>
      </c>
      <c r="D47" t="s">
        <v>740</v>
      </c>
      <c r="E47" t="s">
        <v>741</v>
      </c>
      <c r="F47" s="6">
        <v>700</v>
      </c>
      <c r="G47" s="6"/>
      <c r="H47" s="1">
        <v>46245</v>
      </c>
      <c r="I47" t="s">
        <v>697</v>
      </c>
      <c r="J47" t="s">
        <v>742</v>
      </c>
    </row>
    <row r="48" spans="1:10" x14ac:dyDescent="0.25">
      <c r="A48" t="s">
        <v>198</v>
      </c>
      <c r="B48" s="1">
        <v>46245</v>
      </c>
      <c r="C48" t="s">
        <v>43</v>
      </c>
      <c r="D48" t="s">
        <v>450</v>
      </c>
      <c r="E48" t="s">
        <v>701</v>
      </c>
      <c r="F48" s="6"/>
      <c r="G48" s="6">
        <v>40</v>
      </c>
      <c r="H48" s="1">
        <v>46245</v>
      </c>
      <c r="I48" t="s">
        <v>697</v>
      </c>
      <c r="J48" t="s">
        <v>702</v>
      </c>
    </row>
    <row r="49" spans="1:10" x14ac:dyDescent="0.25">
      <c r="A49" t="s">
        <v>348</v>
      </c>
      <c r="B49" s="1">
        <v>46225</v>
      </c>
      <c r="C49" t="s">
        <v>43</v>
      </c>
      <c r="D49" t="s">
        <v>181</v>
      </c>
      <c r="E49" t="s">
        <v>522</v>
      </c>
      <c r="F49" s="6">
        <v>114</v>
      </c>
      <c r="G49" s="6"/>
      <c r="H49" s="1">
        <v>46246</v>
      </c>
      <c r="I49" t="s">
        <v>697</v>
      </c>
      <c r="J49" t="s">
        <v>523</v>
      </c>
    </row>
    <row r="50" spans="1:10" x14ac:dyDescent="0.25">
      <c r="A50" t="s">
        <v>348</v>
      </c>
      <c r="B50" s="1">
        <v>46245</v>
      </c>
      <c r="C50" t="s">
        <v>43</v>
      </c>
      <c r="D50" t="s">
        <v>153</v>
      </c>
      <c r="E50" t="s">
        <v>703</v>
      </c>
      <c r="F50" s="6"/>
      <c r="G50" s="6">
        <v>399</v>
      </c>
      <c r="H50" s="1">
        <v>46246</v>
      </c>
      <c r="I50" t="s">
        <v>697</v>
      </c>
      <c r="J50" t="s">
        <v>704</v>
      </c>
    </row>
    <row r="51" spans="1:10" x14ac:dyDescent="0.25">
      <c r="A51" t="s">
        <v>348</v>
      </c>
      <c r="B51" s="1">
        <v>46245</v>
      </c>
      <c r="C51" t="s">
        <v>43</v>
      </c>
      <c r="D51" t="s">
        <v>153</v>
      </c>
      <c r="E51" t="s">
        <v>705</v>
      </c>
      <c r="F51" s="6">
        <v>50.4</v>
      </c>
      <c r="G51" s="6"/>
      <c r="H51" s="1">
        <v>46246</v>
      </c>
      <c r="I51" t="s">
        <v>697</v>
      </c>
      <c r="J51" t="s">
        <v>706</v>
      </c>
    </row>
    <row r="52" spans="1:10" x14ac:dyDescent="0.25">
      <c r="A52" t="s">
        <v>348</v>
      </c>
      <c r="B52" s="1">
        <v>46233</v>
      </c>
      <c r="C52" t="s">
        <v>43</v>
      </c>
      <c r="D52" t="s">
        <v>524</v>
      </c>
      <c r="E52" t="s">
        <v>525</v>
      </c>
      <c r="F52" s="6">
        <v>1622.5</v>
      </c>
      <c r="G52" s="6"/>
      <c r="H52" s="1">
        <v>46246</v>
      </c>
      <c r="I52" t="s">
        <v>697</v>
      </c>
      <c r="J52" t="s">
        <v>526</v>
      </c>
    </row>
    <row r="53" spans="1:10" x14ac:dyDescent="0.25">
      <c r="A53" t="s">
        <v>348</v>
      </c>
      <c r="B53" s="1">
        <v>46227</v>
      </c>
      <c r="C53" t="s">
        <v>43</v>
      </c>
      <c r="D53" t="s">
        <v>201</v>
      </c>
      <c r="E53" t="s">
        <v>527</v>
      </c>
      <c r="F53" s="6">
        <v>387.23</v>
      </c>
      <c r="G53" s="6"/>
      <c r="H53" s="1">
        <v>46246</v>
      </c>
      <c r="I53" t="s">
        <v>789</v>
      </c>
      <c r="J53" t="s">
        <v>528</v>
      </c>
    </row>
    <row r="54" spans="1:10" x14ac:dyDescent="0.25">
      <c r="A54" t="s">
        <v>287</v>
      </c>
      <c r="B54" s="1">
        <v>46244</v>
      </c>
      <c r="C54" t="s">
        <v>43</v>
      </c>
      <c r="D54" t="s">
        <v>392</v>
      </c>
      <c r="E54" t="s">
        <v>707</v>
      </c>
      <c r="F54" s="6"/>
      <c r="G54" s="6">
        <v>66</v>
      </c>
      <c r="H54" s="1">
        <v>46246</v>
      </c>
      <c r="I54" t="s">
        <v>697</v>
      </c>
      <c r="J54" t="s">
        <v>708</v>
      </c>
    </row>
    <row r="55" spans="1:10" x14ac:dyDescent="0.25">
      <c r="A55" s="2" t="s">
        <v>467</v>
      </c>
      <c r="B55" s="3">
        <v>46245</v>
      </c>
      <c r="C55" s="2" t="s">
        <v>43</v>
      </c>
      <c r="D55" s="2" t="s">
        <v>743</v>
      </c>
      <c r="E55" s="2" t="s">
        <v>744</v>
      </c>
      <c r="F55" s="7">
        <v>1684.76</v>
      </c>
      <c r="G55" s="7"/>
      <c r="H55" s="3">
        <v>46246</v>
      </c>
      <c r="I55" s="2"/>
      <c r="J55" s="2" t="s">
        <v>745</v>
      </c>
    </row>
    <row r="56" spans="1:10" x14ac:dyDescent="0.25">
      <c r="A56" t="s">
        <v>348</v>
      </c>
      <c r="B56" s="1">
        <v>46245</v>
      </c>
      <c r="C56" t="s">
        <v>43</v>
      </c>
      <c r="D56" t="s">
        <v>566</v>
      </c>
      <c r="E56" t="s">
        <v>711</v>
      </c>
      <c r="F56" s="6">
        <v>70</v>
      </c>
      <c r="G56" s="6"/>
      <c r="H56" s="1">
        <v>46248</v>
      </c>
      <c r="I56" t="s">
        <v>697</v>
      </c>
      <c r="J56" t="s">
        <v>712</v>
      </c>
    </row>
    <row r="57" spans="1:10" x14ac:dyDescent="0.25">
      <c r="A57" t="s">
        <v>446</v>
      </c>
      <c r="B57" s="1">
        <v>46238</v>
      </c>
      <c r="C57" t="s">
        <v>43</v>
      </c>
      <c r="D57" t="s">
        <v>339</v>
      </c>
      <c r="E57" t="s">
        <v>536</v>
      </c>
      <c r="F57" s="6">
        <v>160</v>
      </c>
      <c r="G57" s="6"/>
      <c r="H57" s="1">
        <v>46248</v>
      </c>
      <c r="I57" t="s">
        <v>697</v>
      </c>
      <c r="J57" t="s">
        <v>537</v>
      </c>
    </row>
    <row r="58" spans="1:10" x14ac:dyDescent="0.25">
      <c r="A58" t="s">
        <v>446</v>
      </c>
      <c r="B58" s="1">
        <v>46238</v>
      </c>
      <c r="C58" t="s">
        <v>43</v>
      </c>
      <c r="D58" t="s">
        <v>87</v>
      </c>
      <c r="E58" t="s">
        <v>538</v>
      </c>
      <c r="F58" s="6">
        <v>64</v>
      </c>
      <c r="G58" s="6"/>
      <c r="H58" s="1">
        <v>46248</v>
      </c>
      <c r="I58" t="s">
        <v>697</v>
      </c>
      <c r="J58" t="s">
        <v>539</v>
      </c>
    </row>
    <row r="59" spans="1:10" x14ac:dyDescent="0.25">
      <c r="A59" t="s">
        <v>467</v>
      </c>
      <c r="B59" s="1">
        <v>46228</v>
      </c>
      <c r="C59" t="s">
        <v>43</v>
      </c>
      <c r="D59" t="s">
        <v>339</v>
      </c>
      <c r="E59" t="s">
        <v>548</v>
      </c>
      <c r="F59" s="6"/>
      <c r="G59" s="6">
        <v>225</v>
      </c>
      <c r="H59" s="1">
        <v>46250</v>
      </c>
      <c r="I59" t="s">
        <v>697</v>
      </c>
      <c r="J59" t="s">
        <v>549</v>
      </c>
    </row>
    <row r="60" spans="1:10" x14ac:dyDescent="0.25">
      <c r="A60" s="2" t="s">
        <v>467</v>
      </c>
      <c r="B60" s="3">
        <v>46230</v>
      </c>
      <c r="C60" s="2" t="s">
        <v>43</v>
      </c>
      <c r="D60" s="2" t="s">
        <v>450</v>
      </c>
      <c r="E60" s="2" t="s">
        <v>552</v>
      </c>
      <c r="F60" s="7"/>
      <c r="G60" s="7">
        <v>1197</v>
      </c>
      <c r="H60" s="3">
        <v>46253</v>
      </c>
      <c r="I60" s="2"/>
      <c r="J60" s="2" t="s">
        <v>553</v>
      </c>
    </row>
    <row r="61" spans="1:10" x14ac:dyDescent="0.25">
      <c r="A61" t="s">
        <v>554</v>
      </c>
      <c r="B61" s="1">
        <v>46239</v>
      </c>
      <c r="C61" t="s">
        <v>43</v>
      </c>
      <c r="D61" t="s">
        <v>153</v>
      </c>
      <c r="E61" t="s">
        <v>555</v>
      </c>
      <c r="F61" s="6"/>
      <c r="G61" s="6">
        <v>357</v>
      </c>
      <c r="H61" s="1">
        <v>46253</v>
      </c>
      <c r="I61" t="s">
        <v>697</v>
      </c>
      <c r="J61" t="s">
        <v>556</v>
      </c>
    </row>
    <row r="62" spans="1:10" x14ac:dyDescent="0.25">
      <c r="A62" t="s">
        <v>467</v>
      </c>
      <c r="B62" s="1">
        <v>46241</v>
      </c>
      <c r="C62" t="s">
        <v>43</v>
      </c>
      <c r="D62" t="s">
        <v>153</v>
      </c>
      <c r="E62" t="s">
        <v>557</v>
      </c>
      <c r="F62" s="6"/>
      <c r="G62" s="6">
        <v>1260</v>
      </c>
      <c r="H62" s="1">
        <v>46253</v>
      </c>
      <c r="I62" t="s">
        <v>737</v>
      </c>
      <c r="J62" t="s">
        <v>558</v>
      </c>
    </row>
    <row r="63" spans="1:10" x14ac:dyDescent="0.25">
      <c r="A63" s="2" t="s">
        <v>467</v>
      </c>
      <c r="B63" s="3">
        <v>46230</v>
      </c>
      <c r="C63" s="2" t="s">
        <v>43</v>
      </c>
      <c r="D63" s="2" t="s">
        <v>374</v>
      </c>
      <c r="E63" s="2" t="s">
        <v>559</v>
      </c>
      <c r="F63" s="7"/>
      <c r="G63" s="7">
        <v>1149.5</v>
      </c>
      <c r="H63" s="3">
        <v>46253</v>
      </c>
      <c r="I63" s="2"/>
      <c r="J63" s="2" t="s">
        <v>560</v>
      </c>
    </row>
    <row r="64" spans="1:10" x14ac:dyDescent="0.25">
      <c r="A64" t="s">
        <v>532</v>
      </c>
      <c r="B64" s="1">
        <v>46223</v>
      </c>
      <c r="C64" t="s">
        <v>43</v>
      </c>
      <c r="D64" t="s">
        <v>561</v>
      </c>
      <c r="E64" t="s">
        <v>562</v>
      </c>
      <c r="F64" s="6">
        <v>1388.2</v>
      </c>
      <c r="G64" s="6"/>
      <c r="H64" s="1">
        <v>46253</v>
      </c>
      <c r="J64" t="s">
        <v>563</v>
      </c>
    </row>
    <row r="65" spans="1:10" x14ac:dyDescent="0.25">
      <c r="A65" t="s">
        <v>366</v>
      </c>
      <c r="B65" s="1">
        <v>46244</v>
      </c>
      <c r="C65" t="s">
        <v>43</v>
      </c>
      <c r="D65" t="s">
        <v>715</v>
      </c>
      <c r="E65" t="s">
        <v>716</v>
      </c>
      <c r="F65" s="6">
        <v>160</v>
      </c>
      <c r="G65" s="6"/>
      <c r="H65" s="1">
        <v>46253</v>
      </c>
      <c r="J65" t="s">
        <v>717</v>
      </c>
    </row>
    <row r="66" spans="1:10" x14ac:dyDescent="0.25">
      <c r="A66" t="s">
        <v>554</v>
      </c>
      <c r="B66" s="1">
        <v>46239</v>
      </c>
      <c r="C66" t="s">
        <v>43</v>
      </c>
      <c r="D66" t="s">
        <v>201</v>
      </c>
      <c r="E66" t="s">
        <v>564</v>
      </c>
      <c r="F66" s="6">
        <v>387.23</v>
      </c>
      <c r="G66" s="6"/>
      <c r="H66" s="1">
        <v>46253</v>
      </c>
      <c r="I66" t="s">
        <v>789</v>
      </c>
      <c r="J66" t="s">
        <v>565</v>
      </c>
    </row>
    <row r="67" spans="1:10" x14ac:dyDescent="0.25">
      <c r="A67" s="2" t="s">
        <v>554</v>
      </c>
      <c r="B67" s="3">
        <v>46239</v>
      </c>
      <c r="C67" s="2" t="s">
        <v>43</v>
      </c>
      <c r="D67" s="2" t="s">
        <v>566</v>
      </c>
      <c r="E67" s="2" t="s">
        <v>567</v>
      </c>
      <c r="F67" s="7">
        <v>70</v>
      </c>
      <c r="G67" s="7"/>
      <c r="H67" s="3">
        <v>46253</v>
      </c>
      <c r="I67" s="2"/>
      <c r="J67" s="2" t="s">
        <v>568</v>
      </c>
    </row>
    <row r="68" spans="1:10" x14ac:dyDescent="0.25">
      <c r="A68" s="2" t="s">
        <v>467</v>
      </c>
      <c r="B68" s="3">
        <v>46241</v>
      </c>
      <c r="C68" s="2" t="s">
        <v>43</v>
      </c>
      <c r="D68" s="2" t="s">
        <v>339</v>
      </c>
      <c r="E68" s="2" t="s">
        <v>569</v>
      </c>
      <c r="F68" s="7"/>
      <c r="G68" s="7">
        <v>140</v>
      </c>
      <c r="H68" s="3">
        <v>46253</v>
      </c>
      <c r="I68" s="2"/>
      <c r="J68" s="2" t="s">
        <v>570</v>
      </c>
    </row>
    <row r="69" spans="1:10" x14ac:dyDescent="0.25">
      <c r="A69" t="s">
        <v>532</v>
      </c>
      <c r="B69" s="1">
        <v>46223</v>
      </c>
      <c r="C69" t="s">
        <v>43</v>
      </c>
      <c r="D69" t="s">
        <v>443</v>
      </c>
      <c r="E69" t="s">
        <v>571</v>
      </c>
      <c r="F69" s="6">
        <v>2418</v>
      </c>
      <c r="G69" s="6"/>
      <c r="H69" s="1">
        <v>46253</v>
      </c>
      <c r="J69" t="s">
        <v>572</v>
      </c>
    </row>
    <row r="70" spans="1:10" x14ac:dyDescent="0.25">
      <c r="A70" t="s">
        <v>287</v>
      </c>
      <c r="B70" s="1">
        <v>46237</v>
      </c>
      <c r="C70" t="s">
        <v>43</v>
      </c>
      <c r="D70" t="s">
        <v>112</v>
      </c>
      <c r="E70" t="s">
        <v>573</v>
      </c>
      <c r="F70" s="6">
        <v>22</v>
      </c>
      <c r="G70" s="6"/>
      <c r="H70" s="1">
        <v>46255</v>
      </c>
      <c r="J70" t="s">
        <v>574</v>
      </c>
    </row>
    <row r="71" spans="1:10" x14ac:dyDescent="0.25">
      <c r="A71" t="s">
        <v>446</v>
      </c>
      <c r="B71" s="1">
        <v>46234</v>
      </c>
      <c r="C71" t="s">
        <v>43</v>
      </c>
      <c r="D71" t="s">
        <v>237</v>
      </c>
      <c r="E71" t="s">
        <v>575</v>
      </c>
      <c r="F71" s="6">
        <v>15</v>
      </c>
      <c r="G71" s="6"/>
      <c r="H71" s="1">
        <v>46255</v>
      </c>
      <c r="J71" t="s">
        <v>576</v>
      </c>
    </row>
    <row r="72" spans="1:10" x14ac:dyDescent="0.25">
      <c r="A72" t="s">
        <v>348</v>
      </c>
      <c r="B72" s="1">
        <v>46200</v>
      </c>
      <c r="C72" t="s">
        <v>43</v>
      </c>
      <c r="D72" t="s">
        <v>237</v>
      </c>
      <c r="E72" t="s">
        <v>598</v>
      </c>
      <c r="F72" s="6">
        <v>85</v>
      </c>
      <c r="G72" s="6"/>
      <c r="H72" s="1">
        <v>46259</v>
      </c>
      <c r="J72" t="s">
        <v>599</v>
      </c>
    </row>
    <row r="73" spans="1:10" x14ac:dyDescent="0.25">
      <c r="A73" s="2" t="s">
        <v>532</v>
      </c>
      <c r="B73" s="3">
        <v>46233</v>
      </c>
      <c r="C73" s="2" t="s">
        <v>43</v>
      </c>
      <c r="D73" s="2" t="s">
        <v>600</v>
      </c>
      <c r="E73" s="2" t="s">
        <v>601</v>
      </c>
      <c r="F73" s="7">
        <v>51.54</v>
      </c>
      <c r="G73" s="7"/>
      <c r="H73" s="3">
        <v>46260</v>
      </c>
      <c r="I73" s="2"/>
      <c r="J73" s="2" t="s">
        <v>602</v>
      </c>
    </row>
    <row r="74" spans="1:10" x14ac:dyDescent="0.25">
      <c r="A74" t="s">
        <v>532</v>
      </c>
      <c r="B74" s="1">
        <v>46223</v>
      </c>
      <c r="C74" t="s">
        <v>43</v>
      </c>
      <c r="D74" t="s">
        <v>603</v>
      </c>
      <c r="E74" t="s">
        <v>604</v>
      </c>
      <c r="F74" s="6">
        <v>3866.4</v>
      </c>
      <c r="G74" s="6"/>
      <c r="H74" s="1">
        <v>46260</v>
      </c>
      <c r="J74" t="s">
        <v>605</v>
      </c>
    </row>
    <row r="75" spans="1:10" x14ac:dyDescent="0.25">
      <c r="A75" t="s">
        <v>467</v>
      </c>
      <c r="B75" s="1">
        <v>46241</v>
      </c>
      <c r="C75" t="s">
        <v>43</v>
      </c>
      <c r="D75" t="s">
        <v>17</v>
      </c>
      <c r="E75" t="s">
        <v>608</v>
      </c>
      <c r="F75" s="6">
        <v>33.04</v>
      </c>
      <c r="G75" s="6"/>
      <c r="H75" s="1">
        <v>46263</v>
      </c>
      <c r="J75" t="s">
        <v>609</v>
      </c>
    </row>
    <row r="76" spans="1:10" x14ac:dyDescent="0.25">
      <c r="A76" t="s">
        <v>613</v>
      </c>
      <c r="B76" s="1">
        <v>46161</v>
      </c>
      <c r="C76" t="s">
        <v>43</v>
      </c>
      <c r="D76" t="s">
        <v>614</v>
      </c>
      <c r="E76" t="s">
        <v>615</v>
      </c>
      <c r="F76" s="6">
        <v>614</v>
      </c>
      <c r="G76" s="6"/>
      <c r="H76" s="1">
        <v>46267</v>
      </c>
      <c r="I76" t="s">
        <v>697</v>
      </c>
      <c r="J76" t="s">
        <v>616</v>
      </c>
    </row>
    <row r="77" spans="1:10" x14ac:dyDescent="0.25">
      <c r="A77" t="s">
        <v>617</v>
      </c>
      <c r="B77" s="1">
        <v>46104</v>
      </c>
      <c r="C77" t="s">
        <v>43</v>
      </c>
      <c r="D77" t="s">
        <v>600</v>
      </c>
      <c r="E77" t="s">
        <v>618</v>
      </c>
      <c r="F77" s="6">
        <v>105</v>
      </c>
      <c r="G77" s="6"/>
      <c r="H77" s="1">
        <v>46267</v>
      </c>
      <c r="I77" t="s">
        <v>697</v>
      </c>
      <c r="J77" t="s">
        <v>619</v>
      </c>
    </row>
    <row r="78" spans="1:10" x14ac:dyDescent="0.25">
      <c r="A78" t="s">
        <v>554</v>
      </c>
      <c r="B78" s="1">
        <v>46239</v>
      </c>
      <c r="C78" t="s">
        <v>43</v>
      </c>
      <c r="D78" t="s">
        <v>620</v>
      </c>
      <c r="E78" t="s">
        <v>621</v>
      </c>
      <c r="F78" s="6">
        <v>507.4</v>
      </c>
      <c r="G78" s="6"/>
      <c r="H78" s="1">
        <v>46267</v>
      </c>
      <c r="J78" t="s">
        <v>622</v>
      </c>
    </row>
    <row r="79" spans="1:10" x14ac:dyDescent="0.25">
      <c r="A79" t="s">
        <v>532</v>
      </c>
      <c r="B79" s="1">
        <v>46223</v>
      </c>
      <c r="C79" t="s">
        <v>43</v>
      </c>
      <c r="D79" t="s">
        <v>628</v>
      </c>
      <c r="E79" t="s">
        <v>629</v>
      </c>
      <c r="F79" s="6">
        <v>1298</v>
      </c>
      <c r="G79" s="6"/>
      <c r="H79" s="1">
        <v>46274</v>
      </c>
      <c r="J79" t="s">
        <v>630</v>
      </c>
    </row>
    <row r="80" spans="1:10" x14ac:dyDescent="0.25">
      <c r="A80" t="s">
        <v>532</v>
      </c>
      <c r="B80" s="1">
        <v>46223</v>
      </c>
      <c r="C80" t="s">
        <v>43</v>
      </c>
      <c r="D80" t="s">
        <v>631</v>
      </c>
      <c r="E80" t="s">
        <v>632</v>
      </c>
      <c r="F80" s="6">
        <v>443.55</v>
      </c>
      <c r="G80" s="6"/>
      <c r="H80" s="1">
        <v>46274</v>
      </c>
      <c r="J80" t="s">
        <v>633</v>
      </c>
    </row>
    <row r="81" spans="1:10" x14ac:dyDescent="0.25">
      <c r="A81" t="s">
        <v>532</v>
      </c>
      <c r="B81" s="1">
        <v>46233</v>
      </c>
      <c r="C81" t="s">
        <v>43</v>
      </c>
      <c r="D81" t="s">
        <v>600</v>
      </c>
      <c r="E81" t="s">
        <v>634</v>
      </c>
      <c r="F81" s="6">
        <v>463.82</v>
      </c>
      <c r="G81" s="6"/>
      <c r="H81" s="1">
        <v>46274</v>
      </c>
      <c r="I81" t="s">
        <v>697</v>
      </c>
      <c r="J81" t="s">
        <v>602</v>
      </c>
    </row>
    <row r="82" spans="1:10" x14ac:dyDescent="0.25">
      <c r="A82" s="2" t="s">
        <v>532</v>
      </c>
      <c r="B82" s="3">
        <v>46223</v>
      </c>
      <c r="C82" s="2" t="s">
        <v>43</v>
      </c>
      <c r="D82" s="2" t="s">
        <v>530</v>
      </c>
      <c r="E82" s="2" t="s">
        <v>635</v>
      </c>
      <c r="F82" s="7">
        <v>551.25</v>
      </c>
      <c r="G82" s="7"/>
      <c r="H82" s="3">
        <v>46274</v>
      </c>
      <c r="I82" s="2"/>
      <c r="J82" s="2" t="s">
        <v>533</v>
      </c>
    </row>
    <row r="83" spans="1:10" x14ac:dyDescent="0.25">
      <c r="A83" t="s">
        <v>554</v>
      </c>
      <c r="B83" s="1">
        <v>46204</v>
      </c>
      <c r="C83" t="s">
        <v>43</v>
      </c>
      <c r="D83" t="s">
        <v>273</v>
      </c>
      <c r="E83" t="s">
        <v>680</v>
      </c>
      <c r="F83" s="6">
        <v>448.8</v>
      </c>
      <c r="G83" s="6"/>
      <c r="H83" s="1">
        <v>46276</v>
      </c>
      <c r="J83" t="s">
        <v>681</v>
      </c>
    </row>
    <row r="84" spans="1:10" x14ac:dyDescent="0.25">
      <c r="A84" t="s">
        <v>529</v>
      </c>
      <c r="B84" s="1">
        <v>46171</v>
      </c>
      <c r="C84" t="s">
        <v>43</v>
      </c>
      <c r="D84" t="s">
        <v>530</v>
      </c>
      <c r="E84" t="s">
        <v>682</v>
      </c>
      <c r="F84" s="6">
        <v>551.25</v>
      </c>
      <c r="G84" s="6"/>
      <c r="H84" s="1">
        <v>46276</v>
      </c>
      <c r="I84" t="s">
        <v>697</v>
      </c>
      <c r="J84" t="s">
        <v>531</v>
      </c>
    </row>
    <row r="85" spans="1:10" x14ac:dyDescent="0.25">
      <c r="A85" s="2" t="s">
        <v>617</v>
      </c>
      <c r="B85" s="3">
        <v>46104</v>
      </c>
      <c r="C85" s="2" t="s">
        <v>43</v>
      </c>
      <c r="D85" s="2" t="s">
        <v>600</v>
      </c>
      <c r="E85" s="2" t="s">
        <v>685</v>
      </c>
      <c r="F85" s="7">
        <v>945.02</v>
      </c>
      <c r="G85" s="7"/>
      <c r="H85" s="3">
        <v>46281</v>
      </c>
      <c r="I85" s="2"/>
      <c r="J85" s="2" t="s">
        <v>619</v>
      </c>
    </row>
    <row r="86" spans="1:10" x14ac:dyDescent="0.25">
      <c r="A86" t="s">
        <v>532</v>
      </c>
      <c r="B86" s="1">
        <v>46223</v>
      </c>
      <c r="C86" t="s">
        <v>43</v>
      </c>
      <c r="D86" t="s">
        <v>686</v>
      </c>
      <c r="E86" t="s">
        <v>687</v>
      </c>
      <c r="F86" s="6">
        <v>3030</v>
      </c>
      <c r="G86" s="6"/>
      <c r="H86" s="1">
        <v>46281</v>
      </c>
      <c r="J86" t="s">
        <v>688</v>
      </c>
    </row>
    <row r="87" spans="1:10" x14ac:dyDescent="0.25">
      <c r="A87" t="s">
        <v>532</v>
      </c>
      <c r="B87" s="1">
        <v>46223</v>
      </c>
      <c r="C87" t="s">
        <v>43</v>
      </c>
      <c r="D87" t="s">
        <v>691</v>
      </c>
      <c r="E87" t="s">
        <v>692</v>
      </c>
      <c r="F87" s="6">
        <v>3034.9</v>
      </c>
      <c r="G87" s="6"/>
      <c r="H87" s="1">
        <v>46288</v>
      </c>
      <c r="J87" t="s">
        <v>693</v>
      </c>
    </row>
    <row r="88" spans="1:10" x14ac:dyDescent="0.25">
      <c r="A88" t="s">
        <v>532</v>
      </c>
      <c r="B88" s="1">
        <v>46223</v>
      </c>
      <c r="C88" t="s">
        <v>43</v>
      </c>
      <c r="D88" t="s">
        <v>694</v>
      </c>
      <c r="E88" t="s">
        <v>695</v>
      </c>
      <c r="F88" s="6">
        <v>253</v>
      </c>
      <c r="G88" s="6"/>
      <c r="H88" s="1">
        <v>46288</v>
      </c>
      <c r="J88" t="s">
        <v>696</v>
      </c>
    </row>
    <row r="89" spans="1:10" x14ac:dyDescent="0.25">
      <c r="A89" t="s">
        <v>198</v>
      </c>
      <c r="B89" s="1">
        <v>46184</v>
      </c>
      <c r="C89" t="s">
        <v>8</v>
      </c>
      <c r="D89" t="s">
        <v>306</v>
      </c>
      <c r="E89" t="s">
        <v>307</v>
      </c>
      <c r="F89" s="6">
        <v>171</v>
      </c>
      <c r="G89" s="6"/>
      <c r="H89" s="1">
        <v>46227</v>
      </c>
      <c r="J89" t="s">
        <v>308</v>
      </c>
    </row>
    <row r="90" spans="1:10" x14ac:dyDescent="0.25">
      <c r="A90" t="s">
        <v>198</v>
      </c>
      <c r="B90" s="1">
        <v>46238</v>
      </c>
      <c r="C90" t="s">
        <v>8</v>
      </c>
      <c r="D90" t="s">
        <v>450</v>
      </c>
      <c r="E90" t="s">
        <v>472</v>
      </c>
      <c r="F90" s="6">
        <v>15</v>
      </c>
      <c r="G90" s="6"/>
      <c r="H90" s="1">
        <v>46241</v>
      </c>
      <c r="J90" t="s">
        <v>473</v>
      </c>
    </row>
    <row r="91" spans="1:10" x14ac:dyDescent="0.25">
      <c r="A91" t="s">
        <v>152</v>
      </c>
      <c r="B91" s="1">
        <v>46191</v>
      </c>
      <c r="C91" t="s">
        <v>8</v>
      </c>
      <c r="D91" t="s">
        <v>153</v>
      </c>
      <c r="E91" t="s">
        <v>154</v>
      </c>
      <c r="F91" s="6"/>
      <c r="G91" s="6">
        <v>20</v>
      </c>
      <c r="H91" s="1">
        <v>46192</v>
      </c>
      <c r="J91" t="s">
        <v>155</v>
      </c>
    </row>
    <row r="92" spans="1:10" x14ac:dyDescent="0.25">
      <c r="A92" t="s">
        <v>187</v>
      </c>
      <c r="B92" s="1">
        <v>46203</v>
      </c>
      <c r="C92" t="s">
        <v>8</v>
      </c>
      <c r="D92" t="s">
        <v>153</v>
      </c>
      <c r="E92" t="s">
        <v>188</v>
      </c>
      <c r="F92" s="6"/>
      <c r="G92" s="6">
        <v>20</v>
      </c>
      <c r="H92" s="1">
        <v>46206</v>
      </c>
      <c r="J92" t="s">
        <v>189</v>
      </c>
    </row>
    <row r="93" spans="1:10" x14ac:dyDescent="0.25">
      <c r="A93" t="s">
        <v>121</v>
      </c>
      <c r="B93" s="1">
        <v>46175</v>
      </c>
      <c r="C93" t="s">
        <v>8</v>
      </c>
      <c r="D93" t="s">
        <v>156</v>
      </c>
      <c r="E93" t="s">
        <v>157</v>
      </c>
      <c r="F93" s="6">
        <v>210</v>
      </c>
      <c r="G93" s="6"/>
      <c r="H93" s="1">
        <v>46192</v>
      </c>
      <c r="I93" t="s">
        <v>733</v>
      </c>
      <c r="J93" t="s">
        <v>158</v>
      </c>
    </row>
    <row r="94" spans="1:10" x14ac:dyDescent="0.25">
      <c r="A94" t="s">
        <v>215</v>
      </c>
      <c r="B94" s="1">
        <v>46205</v>
      </c>
      <c r="C94" t="s">
        <v>8</v>
      </c>
      <c r="D94" t="s">
        <v>156</v>
      </c>
      <c r="E94" t="s">
        <v>216</v>
      </c>
      <c r="F94" s="6">
        <v>90</v>
      </c>
      <c r="G94" s="6"/>
      <c r="H94" s="1">
        <v>46213</v>
      </c>
      <c r="J94" t="s">
        <v>217</v>
      </c>
    </row>
    <row r="95" spans="1:10" x14ac:dyDescent="0.25">
      <c r="A95" t="s">
        <v>290</v>
      </c>
      <c r="B95" s="1">
        <v>46181</v>
      </c>
      <c r="C95" t="s">
        <v>8</v>
      </c>
      <c r="D95" t="s">
        <v>156</v>
      </c>
      <c r="E95" t="s">
        <v>291</v>
      </c>
      <c r="F95" s="6">
        <v>90</v>
      </c>
      <c r="G95" s="6"/>
      <c r="H95" s="1">
        <v>46225</v>
      </c>
      <c r="J95" t="s">
        <v>292</v>
      </c>
    </row>
    <row r="96" spans="1:10" x14ac:dyDescent="0.25">
      <c r="A96" t="s">
        <v>309</v>
      </c>
      <c r="B96" s="1">
        <v>46218</v>
      </c>
      <c r="C96" t="s">
        <v>8</v>
      </c>
      <c r="D96" t="s">
        <v>156</v>
      </c>
      <c r="E96" t="s">
        <v>310</v>
      </c>
      <c r="F96" s="6">
        <v>212</v>
      </c>
      <c r="G96" s="6"/>
      <c r="H96" s="1">
        <v>46227</v>
      </c>
      <c r="J96" t="s">
        <v>311</v>
      </c>
    </row>
    <row r="97" spans="1:10" x14ac:dyDescent="0.25">
      <c r="A97" t="s">
        <v>38</v>
      </c>
      <c r="B97" s="1">
        <v>46045</v>
      </c>
      <c r="C97" t="s">
        <v>8</v>
      </c>
      <c r="D97" t="s">
        <v>39</v>
      </c>
      <c r="E97" t="s">
        <v>40</v>
      </c>
      <c r="F97" s="6">
        <v>211.52</v>
      </c>
      <c r="G97" s="6"/>
      <c r="H97" s="1">
        <v>46151</v>
      </c>
      <c r="I97" t="s">
        <v>728</v>
      </c>
      <c r="J97" t="s">
        <v>41</v>
      </c>
    </row>
    <row r="98" spans="1:10" x14ac:dyDescent="0.25">
      <c r="A98" t="s">
        <v>42</v>
      </c>
      <c r="B98" s="1">
        <v>46119</v>
      </c>
      <c r="C98" t="s">
        <v>8</v>
      </c>
      <c r="D98" t="s">
        <v>39</v>
      </c>
      <c r="E98" t="s">
        <v>59</v>
      </c>
      <c r="F98" s="6">
        <v>288.66000000000003</v>
      </c>
      <c r="G98" s="6"/>
      <c r="H98" s="1">
        <v>46164</v>
      </c>
      <c r="I98" t="s">
        <v>404</v>
      </c>
      <c r="J98" t="s">
        <v>60</v>
      </c>
    </row>
    <row r="99" spans="1:10" x14ac:dyDescent="0.25">
      <c r="A99" t="s">
        <v>56</v>
      </c>
      <c r="B99" s="1">
        <v>46168</v>
      </c>
      <c r="C99" t="s">
        <v>8</v>
      </c>
      <c r="D99" t="s">
        <v>39</v>
      </c>
      <c r="E99" t="s">
        <v>75</v>
      </c>
      <c r="F99" s="6">
        <v>182.3</v>
      </c>
      <c r="G99" s="6"/>
      <c r="H99" s="1">
        <v>46169</v>
      </c>
      <c r="I99" t="s">
        <v>404</v>
      </c>
      <c r="J99" t="s">
        <v>76</v>
      </c>
    </row>
    <row r="100" spans="1:10" x14ac:dyDescent="0.25">
      <c r="A100" t="s">
        <v>49</v>
      </c>
      <c r="B100" s="1">
        <v>46169</v>
      </c>
      <c r="C100" t="s">
        <v>8</v>
      </c>
      <c r="D100" t="s">
        <v>39</v>
      </c>
      <c r="E100" t="s">
        <v>77</v>
      </c>
      <c r="F100" s="6">
        <v>457</v>
      </c>
      <c r="G100" s="6"/>
      <c r="H100" s="1">
        <v>46171</v>
      </c>
      <c r="I100" t="s">
        <v>404</v>
      </c>
      <c r="J100" t="s">
        <v>78</v>
      </c>
    </row>
    <row r="101" spans="1:10" x14ac:dyDescent="0.25">
      <c r="A101" t="s">
        <v>94</v>
      </c>
      <c r="B101" s="1">
        <v>46147</v>
      </c>
      <c r="C101" t="s">
        <v>8</v>
      </c>
      <c r="D101" t="s">
        <v>39</v>
      </c>
      <c r="E101" t="s">
        <v>109</v>
      </c>
      <c r="F101" s="6">
        <v>451.16</v>
      </c>
      <c r="G101" s="6"/>
      <c r="H101" s="1">
        <v>46176</v>
      </c>
      <c r="I101" t="s">
        <v>404</v>
      </c>
      <c r="J101" t="s">
        <v>110</v>
      </c>
    </row>
    <row r="102" spans="1:10" x14ac:dyDescent="0.25">
      <c r="A102" t="s">
        <v>49</v>
      </c>
      <c r="B102" s="1">
        <v>46175</v>
      </c>
      <c r="C102" t="s">
        <v>8</v>
      </c>
      <c r="D102" t="s">
        <v>39</v>
      </c>
      <c r="E102" t="s">
        <v>113</v>
      </c>
      <c r="F102" s="6">
        <v>211.52</v>
      </c>
      <c r="G102" s="6"/>
      <c r="H102" s="1">
        <v>46178</v>
      </c>
      <c r="I102" t="s">
        <v>404</v>
      </c>
      <c r="J102" t="s">
        <v>114</v>
      </c>
    </row>
    <row r="103" spans="1:10" x14ac:dyDescent="0.25">
      <c r="A103" t="s">
        <v>106</v>
      </c>
      <c r="B103" s="1">
        <v>46155</v>
      </c>
      <c r="C103" t="s">
        <v>8</v>
      </c>
      <c r="D103" t="s">
        <v>39</v>
      </c>
      <c r="E103" t="s">
        <v>128</v>
      </c>
      <c r="F103" s="6">
        <v>281.2</v>
      </c>
      <c r="G103" s="6"/>
      <c r="H103" s="1">
        <v>46185</v>
      </c>
      <c r="J103" t="s">
        <v>129</v>
      </c>
    </row>
    <row r="104" spans="1:10" x14ac:dyDescent="0.25">
      <c r="A104" t="s">
        <v>204</v>
      </c>
      <c r="B104" s="1">
        <v>46176</v>
      </c>
      <c r="C104" t="s">
        <v>8</v>
      </c>
      <c r="D104" t="s">
        <v>39</v>
      </c>
      <c r="E104" t="s">
        <v>380</v>
      </c>
      <c r="F104" s="6">
        <v>261.48</v>
      </c>
      <c r="G104" s="6"/>
      <c r="H104" s="1">
        <v>46234</v>
      </c>
      <c r="J104" t="s">
        <v>381</v>
      </c>
    </row>
    <row r="105" spans="1:10" x14ac:dyDescent="0.25">
      <c r="A105" t="s">
        <v>159</v>
      </c>
      <c r="B105" s="1">
        <v>46178</v>
      </c>
      <c r="C105" t="s">
        <v>8</v>
      </c>
      <c r="D105" t="s">
        <v>39</v>
      </c>
      <c r="E105" t="s">
        <v>382</v>
      </c>
      <c r="F105" s="6">
        <v>363.64</v>
      </c>
      <c r="G105" s="6"/>
      <c r="H105" s="1">
        <v>46234</v>
      </c>
      <c r="J105" t="s">
        <v>383</v>
      </c>
    </row>
    <row r="106" spans="1:10" x14ac:dyDescent="0.25">
      <c r="A106" t="s">
        <v>204</v>
      </c>
      <c r="B106" s="1">
        <v>46246</v>
      </c>
      <c r="C106" t="s">
        <v>8</v>
      </c>
      <c r="D106" t="s">
        <v>39</v>
      </c>
      <c r="E106" t="s">
        <v>746</v>
      </c>
      <c r="F106" s="6">
        <v>171.3</v>
      </c>
      <c r="G106" s="6"/>
      <c r="H106" s="1">
        <v>46246</v>
      </c>
      <c r="J106" t="s">
        <v>747</v>
      </c>
    </row>
    <row r="107" spans="1:10" x14ac:dyDescent="0.25">
      <c r="A107" t="s">
        <v>287</v>
      </c>
      <c r="B107" s="1">
        <v>46246</v>
      </c>
      <c r="C107" t="s">
        <v>8</v>
      </c>
      <c r="D107" t="s">
        <v>39</v>
      </c>
      <c r="E107" t="s">
        <v>748</v>
      </c>
      <c r="F107" s="6">
        <v>537.24</v>
      </c>
      <c r="G107" s="6"/>
      <c r="H107" s="1">
        <v>46248</v>
      </c>
      <c r="J107" t="s">
        <v>749</v>
      </c>
    </row>
    <row r="108" spans="1:10" x14ac:dyDescent="0.25">
      <c r="A108" t="s">
        <v>348</v>
      </c>
      <c r="B108" s="1">
        <v>46245</v>
      </c>
      <c r="C108" t="s">
        <v>8</v>
      </c>
      <c r="D108" t="s">
        <v>39</v>
      </c>
      <c r="E108" t="s">
        <v>722</v>
      </c>
      <c r="F108" s="6">
        <v>219.52</v>
      </c>
      <c r="G108" s="6"/>
      <c r="H108" s="1">
        <v>46269</v>
      </c>
      <c r="J108" t="s">
        <v>723</v>
      </c>
    </row>
    <row r="109" spans="1:10" x14ac:dyDescent="0.25">
      <c r="A109" t="s">
        <v>152</v>
      </c>
      <c r="B109" s="1">
        <v>46220</v>
      </c>
      <c r="C109" t="s">
        <v>8</v>
      </c>
      <c r="D109" t="s">
        <v>245</v>
      </c>
      <c r="E109" t="s">
        <v>246</v>
      </c>
      <c r="F109" s="6">
        <v>46</v>
      </c>
      <c r="G109" s="6"/>
      <c r="H109" s="1">
        <v>46220</v>
      </c>
      <c r="J109" t="s">
        <v>247</v>
      </c>
    </row>
    <row r="110" spans="1:10" x14ac:dyDescent="0.25">
      <c r="A110" t="s">
        <v>159</v>
      </c>
      <c r="B110" s="1">
        <v>46178</v>
      </c>
      <c r="C110" t="s">
        <v>8</v>
      </c>
      <c r="D110" t="s">
        <v>451</v>
      </c>
      <c r="E110" t="s">
        <v>534</v>
      </c>
      <c r="F110" s="6">
        <v>500.32</v>
      </c>
      <c r="G110" s="6"/>
      <c r="H110" s="1">
        <v>46247</v>
      </c>
      <c r="J110" t="s">
        <v>535</v>
      </c>
    </row>
    <row r="111" spans="1:10" x14ac:dyDescent="0.25">
      <c r="A111" t="s">
        <v>38</v>
      </c>
      <c r="B111" s="1">
        <v>46111</v>
      </c>
      <c r="C111" t="s">
        <v>8</v>
      </c>
      <c r="D111" t="s">
        <v>44</v>
      </c>
      <c r="E111" t="s">
        <v>47</v>
      </c>
      <c r="F111" s="6">
        <v>130</v>
      </c>
      <c r="G111" s="6"/>
      <c r="H111" s="1">
        <v>46157</v>
      </c>
      <c r="I111" t="s">
        <v>404</v>
      </c>
      <c r="J111" t="s">
        <v>48</v>
      </c>
    </row>
    <row r="112" spans="1:10" x14ac:dyDescent="0.25">
      <c r="A112" t="s">
        <v>115</v>
      </c>
      <c r="B112" s="1">
        <v>46098</v>
      </c>
      <c r="C112" t="s">
        <v>8</v>
      </c>
      <c r="D112" t="s">
        <v>44</v>
      </c>
      <c r="E112" t="s">
        <v>116</v>
      </c>
      <c r="F112" s="6">
        <v>65</v>
      </c>
      <c r="G112" s="6"/>
      <c r="H112" s="1">
        <v>46178</v>
      </c>
      <c r="I112" t="s">
        <v>729</v>
      </c>
      <c r="J112" t="s">
        <v>117</v>
      </c>
    </row>
    <row r="113" spans="1:10" x14ac:dyDescent="0.25">
      <c r="A113" t="s">
        <v>159</v>
      </c>
      <c r="B113" s="1">
        <v>46104</v>
      </c>
      <c r="C113" t="s">
        <v>8</v>
      </c>
      <c r="D113" t="s">
        <v>160</v>
      </c>
      <c r="E113" t="s">
        <v>161</v>
      </c>
      <c r="F113" s="6">
        <v>1955.14</v>
      </c>
      <c r="G113" s="6"/>
      <c r="H113" s="1">
        <v>46192</v>
      </c>
      <c r="J113" t="s">
        <v>162</v>
      </c>
    </row>
    <row r="114" spans="1:10" x14ac:dyDescent="0.25">
      <c r="A114" t="s">
        <v>184</v>
      </c>
      <c r="B114" s="1">
        <v>46176</v>
      </c>
      <c r="C114" t="s">
        <v>8</v>
      </c>
      <c r="D114" t="s">
        <v>160</v>
      </c>
      <c r="E114" t="s">
        <v>218</v>
      </c>
      <c r="F114" s="6">
        <v>99.12</v>
      </c>
      <c r="G114" s="6"/>
      <c r="H114" s="1">
        <v>46213</v>
      </c>
      <c r="J114" t="s">
        <v>219</v>
      </c>
    </row>
    <row r="115" spans="1:10" x14ac:dyDescent="0.25">
      <c r="A115" t="s">
        <v>121</v>
      </c>
      <c r="B115" s="1">
        <v>46169</v>
      </c>
      <c r="C115" t="s">
        <v>8</v>
      </c>
      <c r="D115" t="s">
        <v>160</v>
      </c>
      <c r="E115" t="s">
        <v>248</v>
      </c>
      <c r="F115" s="6">
        <v>421.4</v>
      </c>
      <c r="G115" s="6"/>
      <c r="H115" s="1">
        <v>46220</v>
      </c>
      <c r="I115" t="s">
        <v>734</v>
      </c>
      <c r="J115" t="s">
        <v>249</v>
      </c>
    </row>
    <row r="116" spans="1:10" x14ac:dyDescent="0.25">
      <c r="A116" t="s">
        <v>212</v>
      </c>
      <c r="B116" s="1">
        <v>46183</v>
      </c>
      <c r="C116" t="s">
        <v>8</v>
      </c>
      <c r="D116" t="s">
        <v>160</v>
      </c>
      <c r="E116" t="s">
        <v>293</v>
      </c>
      <c r="F116" s="6">
        <v>309.97000000000003</v>
      </c>
      <c r="G116" s="6"/>
      <c r="H116" s="1">
        <v>46225</v>
      </c>
      <c r="J116" t="s">
        <v>294</v>
      </c>
    </row>
    <row r="117" spans="1:10" x14ac:dyDescent="0.25">
      <c r="A117" t="s">
        <v>159</v>
      </c>
      <c r="B117" s="1">
        <v>46178</v>
      </c>
      <c r="C117" t="s">
        <v>8</v>
      </c>
      <c r="D117" t="s">
        <v>160</v>
      </c>
      <c r="E117" t="s">
        <v>299</v>
      </c>
      <c r="F117" s="6">
        <v>522.03</v>
      </c>
      <c r="G117" s="6"/>
      <c r="H117" s="1">
        <v>46226</v>
      </c>
      <c r="J117" t="s">
        <v>300</v>
      </c>
    </row>
    <row r="118" spans="1:10" x14ac:dyDescent="0.25">
      <c r="A118" t="s">
        <v>204</v>
      </c>
      <c r="B118" s="1">
        <v>46156</v>
      </c>
      <c r="C118" t="s">
        <v>8</v>
      </c>
      <c r="D118" t="s">
        <v>250</v>
      </c>
      <c r="E118" t="s">
        <v>251</v>
      </c>
      <c r="F118" s="6">
        <v>124.3</v>
      </c>
      <c r="G118" s="6"/>
      <c r="H118" s="1">
        <v>46220</v>
      </c>
      <c r="J118" t="s">
        <v>252</v>
      </c>
    </row>
    <row r="119" spans="1:10" x14ac:dyDescent="0.25">
      <c r="A119" t="s">
        <v>287</v>
      </c>
      <c r="B119" s="1">
        <v>46213</v>
      </c>
      <c r="C119" t="s">
        <v>8</v>
      </c>
      <c r="D119" t="s">
        <v>250</v>
      </c>
      <c r="E119" t="s">
        <v>312</v>
      </c>
      <c r="F119" s="6">
        <v>646.79999999999995</v>
      </c>
      <c r="G119" s="6"/>
      <c r="H119" s="1">
        <v>46248</v>
      </c>
      <c r="J119" t="s">
        <v>313</v>
      </c>
    </row>
    <row r="120" spans="1:10" x14ac:dyDescent="0.25">
      <c r="A120" t="s">
        <v>287</v>
      </c>
      <c r="B120" s="1">
        <v>46244</v>
      </c>
      <c r="C120" t="s">
        <v>8</v>
      </c>
      <c r="D120" t="s">
        <v>250</v>
      </c>
      <c r="E120" t="s">
        <v>713</v>
      </c>
      <c r="F120" s="6">
        <v>97.92</v>
      </c>
      <c r="G120" s="6"/>
      <c r="H120" s="1">
        <v>46248</v>
      </c>
      <c r="J120" t="s">
        <v>714</v>
      </c>
    </row>
    <row r="121" spans="1:10" x14ac:dyDescent="0.25">
      <c r="A121" t="s">
        <v>159</v>
      </c>
      <c r="B121" s="1">
        <v>46175</v>
      </c>
      <c r="C121" t="s">
        <v>8</v>
      </c>
      <c r="D121" t="s">
        <v>273</v>
      </c>
      <c r="E121" t="s">
        <v>274</v>
      </c>
      <c r="F121" s="6">
        <v>521.4</v>
      </c>
      <c r="G121" s="6"/>
      <c r="H121" s="1">
        <v>46221</v>
      </c>
      <c r="J121" t="s">
        <v>275</v>
      </c>
    </row>
    <row r="122" spans="1:10" x14ac:dyDescent="0.25">
      <c r="A122" t="s">
        <v>287</v>
      </c>
      <c r="B122" s="1">
        <v>46213</v>
      </c>
      <c r="C122" t="s">
        <v>8</v>
      </c>
      <c r="D122" t="s">
        <v>314</v>
      </c>
      <c r="E122" t="s">
        <v>315</v>
      </c>
      <c r="F122" s="6">
        <v>301.39999999999998</v>
      </c>
      <c r="G122" s="6"/>
      <c r="H122" s="1">
        <v>46227</v>
      </c>
      <c r="J122" t="s">
        <v>316</v>
      </c>
    </row>
    <row r="123" spans="1:10" x14ac:dyDescent="0.25">
      <c r="A123" t="s">
        <v>287</v>
      </c>
      <c r="B123" s="1">
        <v>46213</v>
      </c>
      <c r="C123" t="s">
        <v>8</v>
      </c>
      <c r="D123" t="s">
        <v>314</v>
      </c>
      <c r="E123" t="s">
        <v>317</v>
      </c>
      <c r="F123" s="6">
        <v>301.39999999999998</v>
      </c>
      <c r="G123" s="6"/>
      <c r="H123" s="1">
        <v>46227</v>
      </c>
      <c r="J123" t="s">
        <v>318</v>
      </c>
    </row>
    <row r="124" spans="1:10" x14ac:dyDescent="0.25">
      <c r="A124" t="s">
        <v>184</v>
      </c>
      <c r="B124" s="1">
        <v>46183</v>
      </c>
      <c r="C124" t="s">
        <v>8</v>
      </c>
      <c r="D124" t="s">
        <v>301</v>
      </c>
      <c r="E124" t="s">
        <v>302</v>
      </c>
      <c r="F124" s="6">
        <v>230.37</v>
      </c>
      <c r="G124" s="6"/>
      <c r="H124" s="1">
        <v>46226</v>
      </c>
      <c r="J124" t="s">
        <v>303</v>
      </c>
    </row>
    <row r="125" spans="1:10" x14ac:dyDescent="0.25">
      <c r="A125" t="s">
        <v>184</v>
      </c>
      <c r="B125" s="1">
        <v>46183</v>
      </c>
      <c r="C125" t="s">
        <v>8</v>
      </c>
      <c r="D125" t="s">
        <v>301</v>
      </c>
      <c r="E125" t="s">
        <v>304</v>
      </c>
      <c r="F125" s="6">
        <v>330.74</v>
      </c>
      <c r="G125" s="6"/>
      <c r="H125" s="1">
        <v>46226</v>
      </c>
      <c r="J125" t="s">
        <v>305</v>
      </c>
    </row>
    <row r="126" spans="1:10" x14ac:dyDescent="0.25">
      <c r="A126" t="s">
        <v>184</v>
      </c>
      <c r="B126" s="1">
        <v>46176</v>
      </c>
      <c r="C126" t="s">
        <v>8</v>
      </c>
      <c r="D126" t="s">
        <v>276</v>
      </c>
      <c r="E126" t="s">
        <v>277</v>
      </c>
      <c r="F126" s="6">
        <v>306.89999999999998</v>
      </c>
      <c r="G126" s="6"/>
      <c r="H126" s="1">
        <v>46221</v>
      </c>
      <c r="J126" t="s">
        <v>278</v>
      </c>
    </row>
    <row r="127" spans="1:10" x14ac:dyDescent="0.25">
      <c r="A127" t="s">
        <v>184</v>
      </c>
      <c r="B127" s="1">
        <v>46176</v>
      </c>
      <c r="C127" t="s">
        <v>8</v>
      </c>
      <c r="D127" t="s">
        <v>276</v>
      </c>
      <c r="E127" t="s">
        <v>279</v>
      </c>
      <c r="F127" s="6">
        <v>306.89999999999998</v>
      </c>
      <c r="G127" s="6"/>
      <c r="H127" s="1">
        <v>46221</v>
      </c>
      <c r="J127" t="s">
        <v>280</v>
      </c>
    </row>
    <row r="128" spans="1:10" x14ac:dyDescent="0.25">
      <c r="A128" t="s">
        <v>204</v>
      </c>
      <c r="B128" s="1">
        <v>46175</v>
      </c>
      <c r="C128" t="s">
        <v>8</v>
      </c>
      <c r="D128" t="s">
        <v>276</v>
      </c>
      <c r="E128" t="s">
        <v>342</v>
      </c>
      <c r="F128" s="6">
        <v>226.6</v>
      </c>
      <c r="G128" s="6"/>
      <c r="H128" s="1">
        <v>46230</v>
      </c>
      <c r="J128" t="s">
        <v>343</v>
      </c>
    </row>
    <row r="129" spans="1:10" x14ac:dyDescent="0.25">
      <c r="A129" t="s">
        <v>198</v>
      </c>
      <c r="B129" s="1">
        <v>46181</v>
      </c>
      <c r="C129" t="s">
        <v>8</v>
      </c>
      <c r="D129" t="s">
        <v>356</v>
      </c>
      <c r="E129" t="s">
        <v>357</v>
      </c>
      <c r="F129" s="6">
        <v>170.52</v>
      </c>
      <c r="G129" s="6"/>
      <c r="H129" s="1">
        <v>46232</v>
      </c>
      <c r="J129" t="s">
        <v>358</v>
      </c>
    </row>
    <row r="130" spans="1:10" x14ac:dyDescent="0.25">
      <c r="A130" t="s">
        <v>180</v>
      </c>
      <c r="B130" s="1">
        <v>46241</v>
      </c>
      <c r="C130" t="s">
        <v>8</v>
      </c>
      <c r="D130" t="s">
        <v>417</v>
      </c>
      <c r="E130" t="s">
        <v>474</v>
      </c>
      <c r="F130" s="6"/>
      <c r="G130" s="6">
        <v>93</v>
      </c>
      <c r="H130" s="1">
        <v>46241</v>
      </c>
      <c r="J130" t="s">
        <v>475</v>
      </c>
    </row>
    <row r="131" spans="1:10" x14ac:dyDescent="0.25">
      <c r="A131" t="s">
        <v>180</v>
      </c>
      <c r="B131" s="1">
        <v>46241</v>
      </c>
      <c r="C131" t="s">
        <v>8</v>
      </c>
      <c r="D131" t="s">
        <v>417</v>
      </c>
      <c r="E131" t="s">
        <v>476</v>
      </c>
      <c r="F131" s="6"/>
      <c r="G131" s="6">
        <v>93</v>
      </c>
      <c r="H131" s="1">
        <v>46241</v>
      </c>
      <c r="J131" t="s">
        <v>475</v>
      </c>
    </row>
    <row r="132" spans="1:10" x14ac:dyDescent="0.25">
      <c r="A132" t="s">
        <v>204</v>
      </c>
      <c r="B132" s="1">
        <v>46219</v>
      </c>
      <c r="C132" t="s">
        <v>8</v>
      </c>
      <c r="D132" t="s">
        <v>253</v>
      </c>
      <c r="E132" t="s">
        <v>254</v>
      </c>
      <c r="F132" s="6"/>
      <c r="G132" s="6">
        <v>22.5</v>
      </c>
      <c r="H132" s="1">
        <v>46220</v>
      </c>
      <c r="J132" t="s">
        <v>255</v>
      </c>
    </row>
    <row r="133" spans="1:10" x14ac:dyDescent="0.25">
      <c r="A133" t="s">
        <v>204</v>
      </c>
      <c r="B133" s="1">
        <v>46219</v>
      </c>
      <c r="C133" t="s">
        <v>8</v>
      </c>
      <c r="D133" t="s">
        <v>253</v>
      </c>
      <c r="E133" t="s">
        <v>256</v>
      </c>
      <c r="F133" s="6"/>
      <c r="G133" s="6">
        <v>22.5</v>
      </c>
      <c r="H133" s="1">
        <v>46220</v>
      </c>
      <c r="J133" t="s">
        <v>255</v>
      </c>
    </row>
    <row r="134" spans="1:10" x14ac:dyDescent="0.25">
      <c r="A134" t="s">
        <v>212</v>
      </c>
      <c r="B134" s="1">
        <v>46183</v>
      </c>
      <c r="C134" t="s">
        <v>8</v>
      </c>
      <c r="D134" t="s">
        <v>112</v>
      </c>
      <c r="E134" t="s">
        <v>384</v>
      </c>
      <c r="F134" s="6">
        <v>494.5</v>
      </c>
      <c r="G134" s="6"/>
      <c r="H134" s="1">
        <v>46234</v>
      </c>
      <c r="J134" t="s">
        <v>385</v>
      </c>
    </row>
    <row r="135" spans="1:10" x14ac:dyDescent="0.25">
      <c r="A135" t="s">
        <v>159</v>
      </c>
      <c r="B135" s="1">
        <v>46184</v>
      </c>
      <c r="C135" t="s">
        <v>8</v>
      </c>
      <c r="D135" t="s">
        <v>112</v>
      </c>
      <c r="E135" t="s">
        <v>412</v>
      </c>
      <c r="F135" s="6">
        <v>192.5</v>
      </c>
      <c r="G135" s="6"/>
      <c r="H135" s="1">
        <v>46236</v>
      </c>
      <c r="J135" t="s">
        <v>413</v>
      </c>
    </row>
    <row r="136" spans="1:10" x14ac:dyDescent="0.25">
      <c r="A136" t="s">
        <v>290</v>
      </c>
      <c r="B136" s="1">
        <v>46181</v>
      </c>
      <c r="C136" t="s">
        <v>8</v>
      </c>
      <c r="D136" t="s">
        <v>112</v>
      </c>
      <c r="E136" t="s">
        <v>477</v>
      </c>
      <c r="F136" s="6">
        <v>333</v>
      </c>
      <c r="G136" s="6"/>
      <c r="H136" s="1">
        <v>46241</v>
      </c>
      <c r="J136" t="s">
        <v>478</v>
      </c>
    </row>
    <row r="137" spans="1:10" x14ac:dyDescent="0.25">
      <c r="A137" t="s">
        <v>111</v>
      </c>
      <c r="B137" s="1">
        <v>46246</v>
      </c>
      <c r="C137" t="s">
        <v>8</v>
      </c>
      <c r="D137" t="s">
        <v>112</v>
      </c>
      <c r="E137" t="s">
        <v>750</v>
      </c>
      <c r="F137" s="6">
        <v>46</v>
      </c>
      <c r="G137" s="6"/>
      <c r="H137" s="1">
        <v>46246</v>
      </c>
      <c r="J137" t="s">
        <v>751</v>
      </c>
    </row>
    <row r="138" spans="1:10" x14ac:dyDescent="0.25">
      <c r="A138" t="s">
        <v>287</v>
      </c>
      <c r="B138" s="1">
        <v>46237</v>
      </c>
      <c r="C138" t="s">
        <v>8</v>
      </c>
      <c r="D138" t="s">
        <v>112</v>
      </c>
      <c r="E138" t="s">
        <v>577</v>
      </c>
      <c r="F138" s="6">
        <v>25</v>
      </c>
      <c r="G138" s="6"/>
      <c r="H138" s="1">
        <v>46255</v>
      </c>
      <c r="J138" t="s">
        <v>578</v>
      </c>
    </row>
    <row r="139" spans="1:10" x14ac:dyDescent="0.25">
      <c r="A139" t="s">
        <v>467</v>
      </c>
      <c r="B139" s="1">
        <v>46241</v>
      </c>
      <c r="C139" t="s">
        <v>8</v>
      </c>
      <c r="D139" t="s">
        <v>112</v>
      </c>
      <c r="E139" t="s">
        <v>636</v>
      </c>
      <c r="F139" s="6">
        <v>44</v>
      </c>
      <c r="G139" s="6"/>
      <c r="H139" s="1">
        <v>46274</v>
      </c>
      <c r="J139" t="s">
        <v>637</v>
      </c>
    </row>
    <row r="140" spans="1:10" x14ac:dyDescent="0.25">
      <c r="A140" t="s">
        <v>467</v>
      </c>
      <c r="B140" s="1">
        <v>46241</v>
      </c>
      <c r="C140" t="s">
        <v>8</v>
      </c>
      <c r="D140" t="s">
        <v>112</v>
      </c>
      <c r="E140" t="s">
        <v>638</v>
      </c>
      <c r="F140" s="6">
        <v>8.4</v>
      </c>
      <c r="G140" s="6"/>
      <c r="H140" s="1">
        <v>46274</v>
      </c>
      <c r="J140" t="s">
        <v>639</v>
      </c>
    </row>
    <row r="141" spans="1:10" x14ac:dyDescent="0.25">
      <c r="A141" t="s">
        <v>467</v>
      </c>
      <c r="B141" s="1">
        <v>46241</v>
      </c>
      <c r="C141" t="s">
        <v>8</v>
      </c>
      <c r="D141" t="s">
        <v>112</v>
      </c>
      <c r="E141" t="s">
        <v>640</v>
      </c>
      <c r="F141" s="6">
        <v>75</v>
      </c>
      <c r="G141" s="6"/>
      <c r="H141" s="1">
        <v>46274</v>
      </c>
      <c r="J141" t="s">
        <v>641</v>
      </c>
    </row>
    <row r="142" spans="1:10" x14ac:dyDescent="0.25">
      <c r="A142" t="s">
        <v>467</v>
      </c>
      <c r="B142" s="1">
        <v>46241</v>
      </c>
      <c r="C142" t="s">
        <v>8</v>
      </c>
      <c r="D142" t="s">
        <v>112</v>
      </c>
      <c r="E142" t="s">
        <v>642</v>
      </c>
      <c r="F142" s="6">
        <v>8.4</v>
      </c>
      <c r="G142" s="6"/>
      <c r="H142" s="1">
        <v>46274</v>
      </c>
      <c r="J142" t="s">
        <v>643</v>
      </c>
    </row>
    <row r="143" spans="1:10" x14ac:dyDescent="0.25">
      <c r="A143" t="s">
        <v>467</v>
      </c>
      <c r="B143" s="1">
        <v>46241</v>
      </c>
      <c r="C143" t="s">
        <v>8</v>
      </c>
      <c r="D143" t="s">
        <v>112</v>
      </c>
      <c r="E143" t="s">
        <v>644</v>
      </c>
      <c r="F143" s="6">
        <v>15</v>
      </c>
      <c r="G143" s="6"/>
      <c r="H143" s="1">
        <v>46274</v>
      </c>
      <c r="J143" t="s">
        <v>645</v>
      </c>
    </row>
    <row r="144" spans="1:10" x14ac:dyDescent="0.25">
      <c r="A144" t="s">
        <v>467</v>
      </c>
      <c r="B144" s="1">
        <v>46241</v>
      </c>
      <c r="C144" t="s">
        <v>8</v>
      </c>
      <c r="D144" t="s">
        <v>112</v>
      </c>
      <c r="E144" t="s">
        <v>646</v>
      </c>
      <c r="F144" s="6">
        <v>2.8</v>
      </c>
      <c r="G144" s="6"/>
      <c r="H144" s="1">
        <v>46274</v>
      </c>
      <c r="J144" t="s">
        <v>647</v>
      </c>
    </row>
    <row r="145" spans="1:10" x14ac:dyDescent="0.25">
      <c r="A145" t="s">
        <v>184</v>
      </c>
      <c r="B145" s="1">
        <v>46245</v>
      </c>
      <c r="C145" t="s">
        <v>8</v>
      </c>
      <c r="D145" t="s">
        <v>197</v>
      </c>
      <c r="E145" t="s">
        <v>752</v>
      </c>
      <c r="F145" s="6">
        <v>75</v>
      </c>
      <c r="G145" s="6"/>
      <c r="H145" s="1">
        <v>46245</v>
      </c>
      <c r="I145" t="s">
        <v>697</v>
      </c>
      <c r="J145" t="s">
        <v>753</v>
      </c>
    </row>
    <row r="146" spans="1:10" x14ac:dyDescent="0.25">
      <c r="A146" t="s">
        <v>27</v>
      </c>
      <c r="B146" s="1">
        <v>46108</v>
      </c>
      <c r="C146" t="s">
        <v>8</v>
      </c>
      <c r="D146" t="s">
        <v>28</v>
      </c>
      <c r="E146" t="s">
        <v>29</v>
      </c>
      <c r="F146" s="6">
        <v>306</v>
      </c>
      <c r="G146" s="6"/>
      <c r="H146" s="1">
        <v>46150</v>
      </c>
      <c r="I146" t="s">
        <v>404</v>
      </c>
      <c r="J146" t="s">
        <v>30</v>
      </c>
    </row>
    <row r="147" spans="1:10" x14ac:dyDescent="0.25">
      <c r="A147" t="s">
        <v>49</v>
      </c>
      <c r="B147" s="1">
        <v>46120</v>
      </c>
      <c r="C147" t="s">
        <v>8</v>
      </c>
      <c r="D147" t="s">
        <v>28</v>
      </c>
      <c r="E147" t="s">
        <v>50</v>
      </c>
      <c r="F147" s="6">
        <v>86</v>
      </c>
      <c r="G147" s="6"/>
      <c r="H147" s="1">
        <v>46157</v>
      </c>
      <c r="I147" t="s">
        <v>404</v>
      </c>
      <c r="J147" t="s">
        <v>51</v>
      </c>
    </row>
    <row r="148" spans="1:10" x14ac:dyDescent="0.25">
      <c r="A148" t="s">
        <v>147</v>
      </c>
      <c r="B148" s="1">
        <v>46182</v>
      </c>
      <c r="C148" t="s">
        <v>8</v>
      </c>
      <c r="D148" t="s">
        <v>28</v>
      </c>
      <c r="E148" t="s">
        <v>193</v>
      </c>
      <c r="F148" s="6">
        <v>125</v>
      </c>
      <c r="G148" s="6"/>
      <c r="H148" s="1">
        <v>46209</v>
      </c>
      <c r="J148" t="s">
        <v>194</v>
      </c>
    </row>
    <row r="149" spans="1:10" x14ac:dyDescent="0.25">
      <c r="A149" t="s">
        <v>190</v>
      </c>
      <c r="B149" s="1">
        <v>46197</v>
      </c>
      <c r="C149" t="s">
        <v>8</v>
      </c>
      <c r="D149" t="s">
        <v>28</v>
      </c>
      <c r="E149" t="s">
        <v>220</v>
      </c>
      <c r="F149" s="6">
        <v>71</v>
      </c>
      <c r="G149" s="6"/>
      <c r="H149" s="1">
        <v>46213</v>
      </c>
      <c r="J149" t="s">
        <v>221</v>
      </c>
    </row>
    <row r="150" spans="1:10" x14ac:dyDescent="0.25">
      <c r="A150" t="s">
        <v>184</v>
      </c>
      <c r="B150" s="1">
        <v>46183</v>
      </c>
      <c r="C150" t="s">
        <v>8</v>
      </c>
      <c r="D150" t="s">
        <v>28</v>
      </c>
      <c r="E150" t="s">
        <v>257</v>
      </c>
      <c r="F150" s="6">
        <v>274.5</v>
      </c>
      <c r="G150" s="6"/>
      <c r="H150" s="1">
        <v>46220</v>
      </c>
      <c r="J150" t="s">
        <v>258</v>
      </c>
    </row>
    <row r="151" spans="1:10" x14ac:dyDescent="0.25">
      <c r="A151" t="s">
        <v>204</v>
      </c>
      <c r="B151" s="1">
        <v>46176</v>
      </c>
      <c r="C151" t="s">
        <v>8</v>
      </c>
      <c r="D151" t="s">
        <v>28</v>
      </c>
      <c r="E151" t="s">
        <v>335</v>
      </c>
      <c r="F151" s="6">
        <v>340</v>
      </c>
      <c r="G151" s="6"/>
      <c r="H151" s="1">
        <v>46228</v>
      </c>
      <c r="J151" t="s">
        <v>336</v>
      </c>
    </row>
    <row r="152" spans="1:10" x14ac:dyDescent="0.25">
      <c r="A152" t="s">
        <v>233</v>
      </c>
      <c r="B152" s="1">
        <v>46185</v>
      </c>
      <c r="C152" t="s">
        <v>8</v>
      </c>
      <c r="D152" t="s">
        <v>28</v>
      </c>
      <c r="E152" t="s">
        <v>369</v>
      </c>
      <c r="F152" s="6">
        <v>70</v>
      </c>
      <c r="G152" s="6"/>
      <c r="H152" s="1">
        <v>46233</v>
      </c>
      <c r="J152" t="s">
        <v>370</v>
      </c>
    </row>
    <row r="153" spans="1:10" x14ac:dyDescent="0.25">
      <c r="A153" t="s">
        <v>115</v>
      </c>
      <c r="B153" s="1">
        <v>46246</v>
      </c>
      <c r="C153" t="s">
        <v>8</v>
      </c>
      <c r="D153" t="s">
        <v>28</v>
      </c>
      <c r="E153" t="s">
        <v>754</v>
      </c>
      <c r="F153" s="6">
        <v>415</v>
      </c>
      <c r="G153" s="6"/>
      <c r="H153" s="1">
        <v>46246</v>
      </c>
      <c r="J153" t="s">
        <v>130</v>
      </c>
    </row>
    <row r="154" spans="1:10" x14ac:dyDescent="0.25">
      <c r="A154" t="s">
        <v>204</v>
      </c>
      <c r="B154" s="1">
        <v>46219</v>
      </c>
      <c r="C154" t="s">
        <v>8</v>
      </c>
      <c r="D154" t="s">
        <v>240</v>
      </c>
      <c r="E154" t="s">
        <v>319</v>
      </c>
      <c r="F154" s="6">
        <v>64</v>
      </c>
      <c r="G154" s="6"/>
      <c r="H154" s="1">
        <v>46227</v>
      </c>
      <c r="J154" t="s">
        <v>320</v>
      </c>
    </row>
    <row r="155" spans="1:10" x14ac:dyDescent="0.25">
      <c r="A155" t="s">
        <v>180</v>
      </c>
      <c r="B155" s="1">
        <v>46233</v>
      </c>
      <c r="C155" t="s">
        <v>8</v>
      </c>
      <c r="D155" t="s">
        <v>361</v>
      </c>
      <c r="E155" t="s">
        <v>479</v>
      </c>
      <c r="F155" s="6">
        <v>40</v>
      </c>
      <c r="G155" s="6"/>
      <c r="H155" s="1">
        <v>46241</v>
      </c>
      <c r="J155" t="s">
        <v>480</v>
      </c>
    </row>
    <row r="156" spans="1:10" x14ac:dyDescent="0.25">
      <c r="A156" t="s">
        <v>180</v>
      </c>
      <c r="B156" s="1">
        <v>46234</v>
      </c>
      <c r="C156" t="s">
        <v>8</v>
      </c>
      <c r="D156" t="s">
        <v>361</v>
      </c>
      <c r="E156" t="s">
        <v>481</v>
      </c>
      <c r="F156" s="6">
        <v>150</v>
      </c>
      <c r="G156" s="6"/>
      <c r="H156" s="1">
        <v>46241</v>
      </c>
      <c r="J156" t="s">
        <v>482</v>
      </c>
    </row>
    <row r="157" spans="1:10" x14ac:dyDescent="0.25">
      <c r="A157" t="s">
        <v>446</v>
      </c>
      <c r="B157" s="1">
        <v>46238</v>
      </c>
      <c r="C157" t="s">
        <v>8</v>
      </c>
      <c r="D157" t="s">
        <v>361</v>
      </c>
      <c r="E157" t="s">
        <v>579</v>
      </c>
      <c r="F157" s="6">
        <v>60</v>
      </c>
      <c r="G157" s="6"/>
      <c r="H157" s="1">
        <v>46255</v>
      </c>
      <c r="J157" t="s">
        <v>580</v>
      </c>
    </row>
    <row r="158" spans="1:10" x14ac:dyDescent="0.25">
      <c r="A158" t="s">
        <v>467</v>
      </c>
      <c r="B158" s="1">
        <v>46241</v>
      </c>
      <c r="C158" t="s">
        <v>8</v>
      </c>
      <c r="D158" t="s">
        <v>648</v>
      </c>
      <c r="E158" t="s">
        <v>649</v>
      </c>
      <c r="F158" s="6">
        <v>60</v>
      </c>
      <c r="G158" s="6"/>
      <c r="H158" s="1">
        <v>46274</v>
      </c>
      <c r="J158" t="s">
        <v>650</v>
      </c>
    </row>
    <row r="159" spans="1:10" x14ac:dyDescent="0.25">
      <c r="A159" t="s">
        <v>31</v>
      </c>
      <c r="B159" s="1">
        <v>46150</v>
      </c>
      <c r="C159" t="s">
        <v>8</v>
      </c>
      <c r="D159" t="s">
        <v>32</v>
      </c>
      <c r="E159" t="s">
        <v>33</v>
      </c>
      <c r="F159" s="6">
        <v>160</v>
      </c>
      <c r="G159" s="6"/>
      <c r="H159" s="1">
        <v>46150</v>
      </c>
      <c r="I159" t="s">
        <v>727</v>
      </c>
      <c r="J159" t="s">
        <v>34</v>
      </c>
    </row>
    <row r="160" spans="1:10" x14ac:dyDescent="0.25">
      <c r="A160" t="s">
        <v>147</v>
      </c>
      <c r="B160" s="1">
        <v>46183</v>
      </c>
      <c r="C160" t="s">
        <v>8</v>
      </c>
      <c r="D160" t="s">
        <v>32</v>
      </c>
      <c r="E160" t="s">
        <v>174</v>
      </c>
      <c r="F160" s="6">
        <v>200</v>
      </c>
      <c r="G160" s="6"/>
      <c r="H160" s="1">
        <v>46196</v>
      </c>
      <c r="J160" t="s">
        <v>175</v>
      </c>
    </row>
    <row r="161" spans="1:10" x14ac:dyDescent="0.25">
      <c r="A161" t="s">
        <v>190</v>
      </c>
      <c r="B161" s="1">
        <v>46171</v>
      </c>
      <c r="C161" t="s">
        <v>8</v>
      </c>
      <c r="D161" t="s">
        <v>32</v>
      </c>
      <c r="E161" t="s">
        <v>191</v>
      </c>
      <c r="F161" s="6">
        <v>254</v>
      </c>
      <c r="G161" s="6"/>
      <c r="H161" s="1">
        <v>46206</v>
      </c>
      <c r="J161" t="s">
        <v>192</v>
      </c>
    </row>
    <row r="162" spans="1:10" x14ac:dyDescent="0.25">
      <c r="A162" t="s">
        <v>184</v>
      </c>
      <c r="B162" s="1">
        <v>46176</v>
      </c>
      <c r="C162" t="s">
        <v>8</v>
      </c>
      <c r="D162" t="s">
        <v>32</v>
      </c>
      <c r="E162" t="s">
        <v>208</v>
      </c>
      <c r="F162" s="6">
        <v>80</v>
      </c>
      <c r="G162" s="6"/>
      <c r="H162" s="1">
        <v>46211</v>
      </c>
      <c r="J162" t="s">
        <v>209</v>
      </c>
    </row>
    <row r="163" spans="1:10" x14ac:dyDescent="0.25">
      <c r="A163" t="s">
        <v>215</v>
      </c>
      <c r="B163" s="1">
        <v>46205</v>
      </c>
      <c r="C163" t="s">
        <v>8</v>
      </c>
      <c r="D163" t="s">
        <v>32</v>
      </c>
      <c r="E163" t="s">
        <v>222</v>
      </c>
      <c r="F163" s="6">
        <v>94</v>
      </c>
      <c r="G163" s="6"/>
      <c r="H163" s="1">
        <v>46213</v>
      </c>
      <c r="J163" t="s">
        <v>223</v>
      </c>
    </row>
    <row r="164" spans="1:10" x14ac:dyDescent="0.25">
      <c r="A164" t="s">
        <v>204</v>
      </c>
      <c r="B164" s="1">
        <v>46183</v>
      </c>
      <c r="C164" t="s">
        <v>8</v>
      </c>
      <c r="D164" t="s">
        <v>32</v>
      </c>
      <c r="E164" t="s">
        <v>231</v>
      </c>
      <c r="F164" s="6">
        <v>80</v>
      </c>
      <c r="G164" s="6"/>
      <c r="H164" s="1">
        <v>46215</v>
      </c>
      <c r="J164" t="s">
        <v>232</v>
      </c>
    </row>
    <row r="165" spans="1:10" x14ac:dyDescent="0.25">
      <c r="A165" t="s">
        <v>204</v>
      </c>
      <c r="B165" s="1">
        <v>46211</v>
      </c>
      <c r="C165" t="s">
        <v>8</v>
      </c>
      <c r="D165" t="s">
        <v>32</v>
      </c>
      <c r="E165" t="s">
        <v>259</v>
      </c>
      <c r="F165" s="6">
        <v>94</v>
      </c>
      <c r="G165" s="6"/>
      <c r="H165" s="1">
        <v>46220</v>
      </c>
      <c r="J165" t="s">
        <v>260</v>
      </c>
    </row>
    <row r="166" spans="1:10" x14ac:dyDescent="0.25">
      <c r="A166" t="s">
        <v>290</v>
      </c>
      <c r="B166" s="1">
        <v>46183</v>
      </c>
      <c r="C166" t="s">
        <v>8</v>
      </c>
      <c r="D166" t="s">
        <v>32</v>
      </c>
      <c r="E166" t="s">
        <v>321</v>
      </c>
      <c r="F166" s="6">
        <v>87</v>
      </c>
      <c r="G166" s="6"/>
      <c r="H166" s="1">
        <v>46227</v>
      </c>
      <c r="J166" t="s">
        <v>322</v>
      </c>
    </row>
    <row r="167" spans="1:10" x14ac:dyDescent="0.25">
      <c r="A167" t="s">
        <v>212</v>
      </c>
      <c r="B167" s="1">
        <v>46183</v>
      </c>
      <c r="C167" t="s">
        <v>8</v>
      </c>
      <c r="D167" t="s">
        <v>32</v>
      </c>
      <c r="E167" t="s">
        <v>323</v>
      </c>
      <c r="F167" s="6">
        <v>167</v>
      </c>
      <c r="G167" s="6"/>
      <c r="H167" s="1">
        <v>46227</v>
      </c>
      <c r="J167" t="s">
        <v>324</v>
      </c>
    </row>
    <row r="168" spans="1:10" x14ac:dyDescent="0.25">
      <c r="A168" t="s">
        <v>309</v>
      </c>
      <c r="B168" s="1">
        <v>46218</v>
      </c>
      <c r="C168" t="s">
        <v>8</v>
      </c>
      <c r="D168" t="s">
        <v>32</v>
      </c>
      <c r="E168" t="s">
        <v>325</v>
      </c>
      <c r="F168" s="6">
        <v>174</v>
      </c>
      <c r="G168" s="6"/>
      <c r="H168" s="1">
        <v>46227</v>
      </c>
      <c r="J168" t="s">
        <v>326</v>
      </c>
    </row>
    <row r="169" spans="1:10" x14ac:dyDescent="0.25">
      <c r="A169" t="s">
        <v>198</v>
      </c>
      <c r="B169" s="1">
        <v>46181</v>
      </c>
      <c r="C169" t="s">
        <v>8</v>
      </c>
      <c r="D169" t="s">
        <v>32</v>
      </c>
      <c r="E169" t="s">
        <v>460</v>
      </c>
      <c r="F169" s="6">
        <v>80</v>
      </c>
      <c r="G169" s="6"/>
      <c r="H169" s="1">
        <v>46239</v>
      </c>
      <c r="J169" t="s">
        <v>461</v>
      </c>
    </row>
    <row r="170" spans="1:10" x14ac:dyDescent="0.25">
      <c r="A170" t="s">
        <v>446</v>
      </c>
      <c r="B170" s="1">
        <v>46238</v>
      </c>
      <c r="C170" t="s">
        <v>8</v>
      </c>
      <c r="D170" t="s">
        <v>32</v>
      </c>
      <c r="E170" t="s">
        <v>581</v>
      </c>
      <c r="F170" s="6">
        <v>247</v>
      </c>
      <c r="G170" s="6"/>
      <c r="H170" s="1">
        <v>46255</v>
      </c>
      <c r="J170" t="s">
        <v>582</v>
      </c>
    </row>
    <row r="171" spans="1:10" x14ac:dyDescent="0.25">
      <c r="A171" t="s">
        <v>348</v>
      </c>
      <c r="B171" s="1">
        <v>46245</v>
      </c>
      <c r="C171" t="s">
        <v>8</v>
      </c>
      <c r="D171" t="s">
        <v>32</v>
      </c>
      <c r="E171" t="s">
        <v>720</v>
      </c>
      <c r="F171" s="6">
        <v>80</v>
      </c>
      <c r="G171" s="6"/>
      <c r="H171" s="1">
        <v>46262</v>
      </c>
      <c r="J171" t="s">
        <v>721</v>
      </c>
    </row>
    <row r="172" spans="1:10" x14ac:dyDescent="0.25">
      <c r="A172" t="s">
        <v>233</v>
      </c>
      <c r="B172" s="1">
        <v>46233</v>
      </c>
      <c r="C172" t="s">
        <v>8</v>
      </c>
      <c r="D172" t="s">
        <v>234</v>
      </c>
      <c r="E172" t="s">
        <v>235</v>
      </c>
      <c r="F172" s="6">
        <v>255</v>
      </c>
      <c r="G172" s="6"/>
      <c r="H172" s="1">
        <v>46215</v>
      </c>
      <c r="J172" t="s">
        <v>236</v>
      </c>
    </row>
    <row r="173" spans="1:10" x14ac:dyDescent="0.25">
      <c r="A173" t="s">
        <v>152</v>
      </c>
      <c r="B173" s="1">
        <v>46220</v>
      </c>
      <c r="C173" t="s">
        <v>8</v>
      </c>
      <c r="D173" t="s">
        <v>234</v>
      </c>
      <c r="E173" t="s">
        <v>261</v>
      </c>
      <c r="F173" s="6">
        <v>756</v>
      </c>
      <c r="G173" s="6"/>
      <c r="H173" s="1">
        <v>46220</v>
      </c>
      <c r="J173" t="s">
        <v>262</v>
      </c>
    </row>
    <row r="174" spans="1:10" x14ac:dyDescent="0.25">
      <c r="A174" t="s">
        <v>152</v>
      </c>
      <c r="B174" s="1">
        <v>46185</v>
      </c>
      <c r="C174" t="s">
        <v>8</v>
      </c>
      <c r="D174" t="s">
        <v>163</v>
      </c>
      <c r="E174" t="s">
        <v>164</v>
      </c>
      <c r="F174" s="6">
        <v>831.9</v>
      </c>
      <c r="G174" s="6"/>
      <c r="H174" s="1">
        <v>46192</v>
      </c>
      <c r="J174" t="s">
        <v>165</v>
      </c>
    </row>
    <row r="175" spans="1:10" x14ac:dyDescent="0.25">
      <c r="A175" t="s">
        <v>212</v>
      </c>
      <c r="B175" s="1">
        <v>46184</v>
      </c>
      <c r="C175" t="s">
        <v>8</v>
      </c>
      <c r="D175" t="s">
        <v>163</v>
      </c>
      <c r="E175" t="s">
        <v>285</v>
      </c>
      <c r="F175" s="6">
        <v>354</v>
      </c>
      <c r="G175" s="6"/>
      <c r="H175" s="1">
        <v>46223</v>
      </c>
      <c r="J175" t="s">
        <v>286</v>
      </c>
    </row>
    <row r="176" spans="1:10" x14ac:dyDescent="0.25">
      <c r="A176" t="s">
        <v>290</v>
      </c>
      <c r="B176" s="1">
        <v>46185</v>
      </c>
      <c r="C176" t="s">
        <v>8</v>
      </c>
      <c r="D176" t="s">
        <v>163</v>
      </c>
      <c r="E176" t="s">
        <v>295</v>
      </c>
      <c r="F176" s="6">
        <v>306.5</v>
      </c>
      <c r="G176" s="6"/>
      <c r="H176" s="1">
        <v>46225</v>
      </c>
      <c r="J176" t="s">
        <v>296</v>
      </c>
    </row>
    <row r="177" spans="1:10" x14ac:dyDescent="0.25">
      <c r="A177" t="s">
        <v>180</v>
      </c>
      <c r="B177" s="1">
        <v>46241</v>
      </c>
      <c r="C177" t="s">
        <v>8</v>
      </c>
      <c r="D177" t="s">
        <v>263</v>
      </c>
      <c r="E177" t="s">
        <v>483</v>
      </c>
      <c r="F177" s="6">
        <v>135</v>
      </c>
      <c r="G177" s="6"/>
      <c r="H177" s="1">
        <v>46241</v>
      </c>
      <c r="J177" t="s">
        <v>484</v>
      </c>
    </row>
    <row r="178" spans="1:10" x14ac:dyDescent="0.25">
      <c r="A178" t="s">
        <v>180</v>
      </c>
      <c r="B178" s="1">
        <v>46241</v>
      </c>
      <c r="C178" t="s">
        <v>8</v>
      </c>
      <c r="D178" t="s">
        <v>263</v>
      </c>
      <c r="E178" t="s">
        <v>485</v>
      </c>
      <c r="F178" s="6">
        <v>135</v>
      </c>
      <c r="G178" s="6"/>
      <c r="H178" s="1">
        <v>46241</v>
      </c>
      <c r="J178" t="s">
        <v>484</v>
      </c>
    </row>
    <row r="179" spans="1:10" x14ac:dyDescent="0.25">
      <c r="A179" t="s">
        <v>180</v>
      </c>
      <c r="B179" s="1">
        <v>46241</v>
      </c>
      <c r="C179" t="s">
        <v>8</v>
      </c>
      <c r="D179" t="s">
        <v>263</v>
      </c>
      <c r="E179" t="s">
        <v>486</v>
      </c>
      <c r="F179" s="6"/>
      <c r="G179" s="6">
        <v>22.4</v>
      </c>
      <c r="H179" s="1">
        <v>46241</v>
      </c>
      <c r="J179" t="s">
        <v>487</v>
      </c>
    </row>
    <row r="180" spans="1:10" x14ac:dyDescent="0.25">
      <c r="A180" t="s">
        <v>180</v>
      </c>
      <c r="B180" s="1">
        <v>46241</v>
      </c>
      <c r="C180" t="s">
        <v>8</v>
      </c>
      <c r="D180" t="s">
        <v>263</v>
      </c>
      <c r="E180" t="s">
        <v>488</v>
      </c>
      <c r="F180" s="6"/>
      <c r="G180" s="6">
        <v>22.4</v>
      </c>
      <c r="H180" s="1">
        <v>46241</v>
      </c>
      <c r="J180" t="s">
        <v>487</v>
      </c>
    </row>
    <row r="181" spans="1:10" x14ac:dyDescent="0.25">
      <c r="A181" t="s">
        <v>180</v>
      </c>
      <c r="B181" s="1">
        <v>46241</v>
      </c>
      <c r="C181" t="s">
        <v>8</v>
      </c>
      <c r="D181" t="s">
        <v>263</v>
      </c>
      <c r="E181" t="s">
        <v>489</v>
      </c>
      <c r="F181" s="6"/>
      <c r="G181" s="6">
        <v>13.6</v>
      </c>
      <c r="H181" s="1">
        <v>46241</v>
      </c>
      <c r="J181" t="s">
        <v>490</v>
      </c>
    </row>
    <row r="182" spans="1:10" x14ac:dyDescent="0.25">
      <c r="A182" t="s">
        <v>180</v>
      </c>
      <c r="B182" s="1">
        <v>46241</v>
      </c>
      <c r="C182" t="s">
        <v>8</v>
      </c>
      <c r="D182" t="s">
        <v>263</v>
      </c>
      <c r="E182" t="s">
        <v>491</v>
      </c>
      <c r="F182" s="6"/>
      <c r="G182" s="6">
        <v>13.6</v>
      </c>
      <c r="H182" s="1">
        <v>46241</v>
      </c>
      <c r="J182" t="s">
        <v>490</v>
      </c>
    </row>
    <row r="183" spans="1:10" x14ac:dyDescent="0.25">
      <c r="A183" t="s">
        <v>180</v>
      </c>
      <c r="B183" s="1">
        <v>46241</v>
      </c>
      <c r="C183" t="s">
        <v>8</v>
      </c>
      <c r="D183" t="s">
        <v>263</v>
      </c>
      <c r="E183" t="s">
        <v>492</v>
      </c>
      <c r="F183" s="6"/>
      <c r="G183" s="6">
        <v>5.9</v>
      </c>
      <c r="H183" s="1">
        <v>46241</v>
      </c>
      <c r="J183" t="s">
        <v>493</v>
      </c>
    </row>
    <row r="184" spans="1:10" x14ac:dyDescent="0.25">
      <c r="A184" t="s">
        <v>180</v>
      </c>
      <c r="B184" s="1">
        <v>46241</v>
      </c>
      <c r="C184" t="s">
        <v>8</v>
      </c>
      <c r="D184" t="s">
        <v>263</v>
      </c>
      <c r="E184" t="s">
        <v>494</v>
      </c>
      <c r="F184" s="6"/>
      <c r="G184" s="6">
        <v>5.9</v>
      </c>
      <c r="H184" s="1">
        <v>46241</v>
      </c>
      <c r="J184" t="s">
        <v>493</v>
      </c>
    </row>
    <row r="185" spans="1:10" x14ac:dyDescent="0.25">
      <c r="A185" t="s">
        <v>215</v>
      </c>
      <c r="B185" s="1">
        <v>46246</v>
      </c>
      <c r="C185" t="s">
        <v>8</v>
      </c>
      <c r="D185" t="s">
        <v>263</v>
      </c>
      <c r="E185" t="s">
        <v>755</v>
      </c>
      <c r="F185" s="6">
        <v>343.5</v>
      </c>
      <c r="G185" s="6"/>
      <c r="H185" s="1">
        <v>46246</v>
      </c>
      <c r="J185" t="s">
        <v>756</v>
      </c>
    </row>
    <row r="186" spans="1:10" x14ac:dyDescent="0.25">
      <c r="A186" t="s">
        <v>215</v>
      </c>
      <c r="B186" s="1">
        <v>46246</v>
      </c>
      <c r="C186" t="s">
        <v>8</v>
      </c>
      <c r="D186" t="s">
        <v>263</v>
      </c>
      <c r="E186" t="s">
        <v>757</v>
      </c>
      <c r="F186" s="6">
        <v>343.5</v>
      </c>
      <c r="G186" s="6"/>
      <c r="H186" s="1">
        <v>46246</v>
      </c>
      <c r="J186" t="s">
        <v>756</v>
      </c>
    </row>
    <row r="187" spans="1:10" x14ac:dyDescent="0.25">
      <c r="A187" t="s">
        <v>152</v>
      </c>
      <c r="B187" s="1">
        <v>46246</v>
      </c>
      <c r="C187" t="s">
        <v>8</v>
      </c>
      <c r="D187" t="s">
        <v>263</v>
      </c>
      <c r="E187" t="s">
        <v>758</v>
      </c>
      <c r="F187" s="6"/>
      <c r="G187" s="6">
        <v>37.5</v>
      </c>
      <c r="H187" s="1">
        <v>46246</v>
      </c>
      <c r="J187" t="s">
        <v>759</v>
      </c>
    </row>
    <row r="188" spans="1:10" x14ac:dyDescent="0.25">
      <c r="A188" t="s">
        <v>152</v>
      </c>
      <c r="B188" s="1">
        <v>46246</v>
      </c>
      <c r="C188" t="s">
        <v>8</v>
      </c>
      <c r="D188" t="s">
        <v>263</v>
      </c>
      <c r="E188" t="s">
        <v>760</v>
      </c>
      <c r="F188" s="6"/>
      <c r="G188" s="6">
        <v>37.5</v>
      </c>
      <c r="H188" s="1">
        <v>46246</v>
      </c>
      <c r="J188" t="s">
        <v>759</v>
      </c>
    </row>
    <row r="189" spans="1:10" x14ac:dyDescent="0.25">
      <c r="A189" t="s">
        <v>147</v>
      </c>
      <c r="B189" s="1">
        <v>46246</v>
      </c>
      <c r="C189" t="s">
        <v>8</v>
      </c>
      <c r="D189" t="s">
        <v>263</v>
      </c>
      <c r="E189" t="s">
        <v>761</v>
      </c>
      <c r="F189" s="6"/>
      <c r="G189" s="6">
        <v>12.5</v>
      </c>
      <c r="H189" s="1">
        <v>46246</v>
      </c>
      <c r="J189" t="s">
        <v>762</v>
      </c>
    </row>
    <row r="190" spans="1:10" x14ac:dyDescent="0.25">
      <c r="A190" t="s">
        <v>147</v>
      </c>
      <c r="B190" s="1">
        <v>46246</v>
      </c>
      <c r="C190" t="s">
        <v>8</v>
      </c>
      <c r="D190" t="s">
        <v>263</v>
      </c>
      <c r="E190" t="s">
        <v>763</v>
      </c>
      <c r="F190" s="6"/>
      <c r="G190" s="6">
        <v>12.5</v>
      </c>
      <c r="H190" s="1">
        <v>46246</v>
      </c>
      <c r="J190" t="s">
        <v>762</v>
      </c>
    </row>
    <row r="191" spans="1:10" x14ac:dyDescent="0.25">
      <c r="A191" t="s">
        <v>309</v>
      </c>
      <c r="B191" s="1">
        <v>46218</v>
      </c>
      <c r="C191" t="s">
        <v>8</v>
      </c>
      <c r="D191" t="s">
        <v>386</v>
      </c>
      <c r="E191" t="s">
        <v>387</v>
      </c>
      <c r="F191" s="6">
        <v>185</v>
      </c>
      <c r="G191" s="6"/>
      <c r="H191" s="1">
        <v>46234</v>
      </c>
      <c r="J191" t="s">
        <v>388</v>
      </c>
    </row>
    <row r="192" spans="1:10" x14ac:dyDescent="0.25">
      <c r="A192" t="s">
        <v>309</v>
      </c>
      <c r="B192" s="1">
        <v>46218</v>
      </c>
      <c r="C192" t="s">
        <v>8</v>
      </c>
      <c r="D192" t="s">
        <v>386</v>
      </c>
      <c r="E192" t="s">
        <v>389</v>
      </c>
      <c r="F192" s="6">
        <v>185</v>
      </c>
      <c r="G192" s="6"/>
      <c r="H192" s="1">
        <v>46234</v>
      </c>
      <c r="J192" t="s">
        <v>388</v>
      </c>
    </row>
    <row r="193" spans="1:10" x14ac:dyDescent="0.25">
      <c r="A193" t="s">
        <v>446</v>
      </c>
      <c r="B193" s="1">
        <v>46238</v>
      </c>
      <c r="C193" t="s">
        <v>8</v>
      </c>
      <c r="D193" t="s">
        <v>386</v>
      </c>
      <c r="E193" t="s">
        <v>583</v>
      </c>
      <c r="F193" s="6">
        <v>260.25</v>
      </c>
      <c r="G193" s="6"/>
      <c r="H193" s="1">
        <v>46255</v>
      </c>
      <c r="J193" t="s">
        <v>584</v>
      </c>
    </row>
    <row r="194" spans="1:10" x14ac:dyDescent="0.25">
      <c r="A194" t="s">
        <v>446</v>
      </c>
      <c r="B194" s="1">
        <v>46238</v>
      </c>
      <c r="C194" t="s">
        <v>8</v>
      </c>
      <c r="D194" t="s">
        <v>386</v>
      </c>
      <c r="E194" t="s">
        <v>585</v>
      </c>
      <c r="F194" s="6">
        <v>260.25</v>
      </c>
      <c r="G194" s="6"/>
      <c r="H194" s="1">
        <v>46255</v>
      </c>
      <c r="J194" t="s">
        <v>584</v>
      </c>
    </row>
    <row r="195" spans="1:10" x14ac:dyDescent="0.25">
      <c r="A195" t="s">
        <v>7</v>
      </c>
      <c r="B195" s="1">
        <v>46029</v>
      </c>
      <c r="C195" t="s">
        <v>8</v>
      </c>
      <c r="D195" t="s">
        <v>9</v>
      </c>
      <c r="E195" t="s">
        <v>10</v>
      </c>
      <c r="F195" s="6">
        <v>140</v>
      </c>
      <c r="G195" s="6"/>
      <c r="H195" s="1">
        <v>46072</v>
      </c>
      <c r="J195" t="s">
        <v>12</v>
      </c>
    </row>
    <row r="196" spans="1:10" x14ac:dyDescent="0.25">
      <c r="A196" t="s">
        <v>13</v>
      </c>
      <c r="B196" s="1">
        <v>46080</v>
      </c>
      <c r="C196" t="s">
        <v>8</v>
      </c>
      <c r="D196" t="s">
        <v>9</v>
      </c>
      <c r="E196" t="s">
        <v>14</v>
      </c>
      <c r="F196" s="6"/>
      <c r="G196" s="6">
        <v>75</v>
      </c>
      <c r="H196" s="1">
        <v>46083</v>
      </c>
      <c r="J196" t="s">
        <v>15</v>
      </c>
    </row>
    <row r="197" spans="1:10" x14ac:dyDescent="0.25">
      <c r="A197" t="s">
        <v>22</v>
      </c>
      <c r="B197" s="1">
        <v>46141</v>
      </c>
      <c r="C197" t="s">
        <v>8</v>
      </c>
      <c r="D197" t="s">
        <v>9</v>
      </c>
      <c r="E197" t="s">
        <v>23</v>
      </c>
      <c r="F197" s="6">
        <v>34</v>
      </c>
      <c r="G197" s="6"/>
      <c r="H197" s="1">
        <v>46142</v>
      </c>
      <c r="J197" t="s">
        <v>24</v>
      </c>
    </row>
    <row r="198" spans="1:10" x14ac:dyDescent="0.25">
      <c r="A198" t="s">
        <v>22</v>
      </c>
      <c r="B198" s="1">
        <v>46142</v>
      </c>
      <c r="C198" t="s">
        <v>8</v>
      </c>
      <c r="D198" t="s">
        <v>9</v>
      </c>
      <c r="E198" t="s">
        <v>25</v>
      </c>
      <c r="F198" s="6">
        <v>10</v>
      </c>
      <c r="G198" s="6"/>
      <c r="H198" s="1">
        <v>46144</v>
      </c>
      <c r="J198" t="s">
        <v>26</v>
      </c>
    </row>
    <row r="199" spans="1:10" x14ac:dyDescent="0.25">
      <c r="A199" t="s">
        <v>35</v>
      </c>
      <c r="B199" s="1">
        <v>46048</v>
      </c>
      <c r="C199" t="s">
        <v>8</v>
      </c>
      <c r="D199" t="s">
        <v>9</v>
      </c>
      <c r="E199" t="s">
        <v>36</v>
      </c>
      <c r="F199" s="6">
        <v>105</v>
      </c>
      <c r="G199" s="6"/>
      <c r="H199" s="1">
        <v>46150</v>
      </c>
      <c r="J199" t="s">
        <v>37</v>
      </c>
    </row>
    <row r="200" spans="1:10" x14ac:dyDescent="0.25">
      <c r="A200" t="s">
        <v>52</v>
      </c>
      <c r="B200" s="1">
        <v>46144</v>
      </c>
      <c r="C200" t="s">
        <v>8</v>
      </c>
      <c r="D200" t="s">
        <v>9</v>
      </c>
      <c r="E200" t="s">
        <v>53</v>
      </c>
      <c r="F200" s="6">
        <v>157.5</v>
      </c>
      <c r="G200" s="6"/>
      <c r="H200" s="1">
        <v>46160</v>
      </c>
      <c r="J200" t="s">
        <v>54</v>
      </c>
    </row>
    <row r="201" spans="1:10" x14ac:dyDescent="0.25">
      <c r="A201" t="s">
        <v>56</v>
      </c>
      <c r="B201" s="1">
        <v>46146</v>
      </c>
      <c r="C201" t="s">
        <v>8</v>
      </c>
      <c r="D201" t="s">
        <v>9</v>
      </c>
      <c r="E201" t="s">
        <v>57</v>
      </c>
      <c r="F201" s="6">
        <v>192.5</v>
      </c>
      <c r="G201" s="6"/>
      <c r="H201" s="1">
        <v>46162</v>
      </c>
      <c r="J201" t="s">
        <v>58</v>
      </c>
    </row>
    <row r="202" spans="1:10" x14ac:dyDescent="0.25">
      <c r="A202" t="s">
        <v>38</v>
      </c>
      <c r="B202" s="1">
        <v>46045</v>
      </c>
      <c r="C202" t="s">
        <v>8</v>
      </c>
      <c r="D202" t="s">
        <v>9</v>
      </c>
      <c r="E202" t="s">
        <v>61</v>
      </c>
      <c r="F202" s="6">
        <v>210</v>
      </c>
      <c r="G202" s="6"/>
      <c r="H202" s="1">
        <v>46164</v>
      </c>
      <c r="J202" t="s">
        <v>62</v>
      </c>
    </row>
    <row r="203" spans="1:10" x14ac:dyDescent="0.25">
      <c r="A203" t="s">
        <v>42</v>
      </c>
      <c r="B203" s="1">
        <v>46113</v>
      </c>
      <c r="C203" t="s">
        <v>8</v>
      </c>
      <c r="D203" t="s">
        <v>9</v>
      </c>
      <c r="E203" t="s">
        <v>63</v>
      </c>
      <c r="F203" s="6">
        <v>157.5</v>
      </c>
      <c r="G203" s="6"/>
      <c r="H203" s="1">
        <v>46164</v>
      </c>
      <c r="J203" t="s">
        <v>64</v>
      </c>
    </row>
    <row r="204" spans="1:10" x14ac:dyDescent="0.25">
      <c r="A204" t="s">
        <v>65</v>
      </c>
      <c r="B204" s="1">
        <v>46162</v>
      </c>
      <c r="C204" t="s">
        <v>8</v>
      </c>
      <c r="D204" t="s">
        <v>9</v>
      </c>
      <c r="E204" t="s">
        <v>66</v>
      </c>
      <c r="F204" s="6">
        <v>192.5</v>
      </c>
      <c r="G204" s="6"/>
      <c r="H204" s="1">
        <v>46164</v>
      </c>
      <c r="J204" t="s">
        <v>67</v>
      </c>
    </row>
    <row r="205" spans="1:10" x14ac:dyDescent="0.25">
      <c r="A205" t="s">
        <v>52</v>
      </c>
      <c r="B205" s="1">
        <v>46167</v>
      </c>
      <c r="C205" t="s">
        <v>8</v>
      </c>
      <c r="D205" t="s">
        <v>9</v>
      </c>
      <c r="E205" t="s">
        <v>68</v>
      </c>
      <c r="F205" s="6"/>
      <c r="G205" s="6">
        <v>41.4</v>
      </c>
      <c r="H205" s="1">
        <v>46164</v>
      </c>
      <c r="J205" t="s">
        <v>69</v>
      </c>
    </row>
    <row r="206" spans="1:10" x14ac:dyDescent="0.25">
      <c r="A206" t="s">
        <v>49</v>
      </c>
      <c r="B206" s="1">
        <v>46153</v>
      </c>
      <c r="C206" t="s">
        <v>8</v>
      </c>
      <c r="D206" t="s">
        <v>9</v>
      </c>
      <c r="E206" t="s">
        <v>73</v>
      </c>
      <c r="F206" s="6">
        <v>122.5</v>
      </c>
      <c r="G206" s="6"/>
      <c r="H206" s="1">
        <v>46167</v>
      </c>
      <c r="J206" t="s">
        <v>74</v>
      </c>
    </row>
    <row r="207" spans="1:10" x14ac:dyDescent="0.25">
      <c r="A207" t="s">
        <v>70</v>
      </c>
      <c r="B207" s="1">
        <v>46141</v>
      </c>
      <c r="C207" t="s">
        <v>8</v>
      </c>
      <c r="D207" t="s">
        <v>9</v>
      </c>
      <c r="E207" t="s">
        <v>79</v>
      </c>
      <c r="F207" s="6">
        <v>157.5</v>
      </c>
      <c r="G207" s="6"/>
      <c r="H207" s="1">
        <v>46171</v>
      </c>
      <c r="J207" t="s">
        <v>80</v>
      </c>
    </row>
    <row r="208" spans="1:10" x14ac:dyDescent="0.25">
      <c r="A208" t="s">
        <v>65</v>
      </c>
      <c r="B208" s="1">
        <v>46167</v>
      </c>
      <c r="C208" t="s">
        <v>8</v>
      </c>
      <c r="D208" t="s">
        <v>9</v>
      </c>
      <c r="E208" t="s">
        <v>81</v>
      </c>
      <c r="F208" s="6"/>
      <c r="G208" s="6">
        <v>33.6</v>
      </c>
      <c r="H208" s="1">
        <v>46171</v>
      </c>
      <c r="J208" t="s">
        <v>82</v>
      </c>
    </row>
    <row r="209" spans="1:10" x14ac:dyDescent="0.25">
      <c r="A209" t="s">
        <v>22</v>
      </c>
      <c r="B209" s="1">
        <v>46167</v>
      </c>
      <c r="C209" t="s">
        <v>8</v>
      </c>
      <c r="D209" t="s">
        <v>9</v>
      </c>
      <c r="E209" t="s">
        <v>83</v>
      </c>
      <c r="F209" s="6">
        <v>35</v>
      </c>
      <c r="G209" s="6"/>
      <c r="H209" s="1">
        <v>46171</v>
      </c>
      <c r="J209" t="s">
        <v>84</v>
      </c>
    </row>
    <row r="210" spans="1:10" x14ac:dyDescent="0.25">
      <c r="A210" t="s">
        <v>22</v>
      </c>
      <c r="B210" s="1">
        <v>46167</v>
      </c>
      <c r="C210" t="s">
        <v>8</v>
      </c>
      <c r="D210" t="s">
        <v>9</v>
      </c>
      <c r="E210" t="s">
        <v>85</v>
      </c>
      <c r="F210" s="6">
        <v>70</v>
      </c>
      <c r="G210" s="6"/>
      <c r="H210" s="1">
        <v>46171</v>
      </c>
      <c r="J210" t="s">
        <v>86</v>
      </c>
    </row>
    <row r="211" spans="1:10" x14ac:dyDescent="0.25">
      <c r="A211" t="s">
        <v>94</v>
      </c>
      <c r="B211" s="1">
        <v>46167</v>
      </c>
      <c r="C211" t="s">
        <v>8</v>
      </c>
      <c r="D211" t="s">
        <v>9</v>
      </c>
      <c r="E211" t="s">
        <v>104</v>
      </c>
      <c r="F211" s="6">
        <v>297.5</v>
      </c>
      <c r="G211" s="6"/>
      <c r="H211" s="1">
        <v>46172</v>
      </c>
      <c r="J211" t="s">
        <v>105</v>
      </c>
    </row>
    <row r="212" spans="1:10" x14ac:dyDescent="0.25">
      <c r="A212" t="s">
        <v>106</v>
      </c>
      <c r="B212" s="1">
        <v>46135</v>
      </c>
      <c r="C212" t="s">
        <v>8</v>
      </c>
      <c r="D212" t="s">
        <v>9</v>
      </c>
      <c r="E212" t="s">
        <v>124</v>
      </c>
      <c r="F212" s="6">
        <v>122.5</v>
      </c>
      <c r="G212" s="6"/>
      <c r="H212" s="1">
        <v>46181</v>
      </c>
      <c r="J212" t="s">
        <v>125</v>
      </c>
    </row>
    <row r="213" spans="1:10" x14ac:dyDescent="0.25">
      <c r="A213" t="s">
        <v>106</v>
      </c>
      <c r="B213" s="1">
        <v>46168</v>
      </c>
      <c r="C213" t="s">
        <v>8</v>
      </c>
      <c r="D213" t="s">
        <v>9</v>
      </c>
      <c r="E213" t="s">
        <v>126</v>
      </c>
      <c r="F213" s="6">
        <v>10</v>
      </c>
      <c r="G213" s="6"/>
      <c r="H213" s="1">
        <v>46181</v>
      </c>
      <c r="J213" t="s">
        <v>127</v>
      </c>
    </row>
    <row r="214" spans="1:10" x14ac:dyDescent="0.25">
      <c r="A214" t="s">
        <v>115</v>
      </c>
      <c r="B214" s="1">
        <v>46128</v>
      </c>
      <c r="C214" t="s">
        <v>8</v>
      </c>
      <c r="D214" t="s">
        <v>9</v>
      </c>
      <c r="E214" t="s">
        <v>131</v>
      </c>
      <c r="F214" s="6">
        <v>227.5</v>
      </c>
      <c r="G214" s="6"/>
      <c r="H214" s="1">
        <v>46185</v>
      </c>
      <c r="J214" t="s">
        <v>132</v>
      </c>
    </row>
    <row r="215" spans="1:10" x14ac:dyDescent="0.25">
      <c r="A215" t="s">
        <v>133</v>
      </c>
      <c r="B215" s="1">
        <v>46155</v>
      </c>
      <c r="C215" t="s">
        <v>8</v>
      </c>
      <c r="D215" t="s">
        <v>9</v>
      </c>
      <c r="E215" t="s">
        <v>134</v>
      </c>
      <c r="F215" s="6">
        <v>192.5</v>
      </c>
      <c r="G215" s="6"/>
      <c r="H215" s="1">
        <v>46185</v>
      </c>
      <c r="J215" t="s">
        <v>135</v>
      </c>
    </row>
    <row r="216" spans="1:10" x14ac:dyDescent="0.25">
      <c r="A216" t="s">
        <v>136</v>
      </c>
      <c r="B216" s="1">
        <v>46160</v>
      </c>
      <c r="C216" t="s">
        <v>8</v>
      </c>
      <c r="D216" t="s">
        <v>9</v>
      </c>
      <c r="E216" t="s">
        <v>137</v>
      </c>
      <c r="F216" s="6">
        <v>122.5</v>
      </c>
      <c r="G216" s="6"/>
      <c r="H216" s="1">
        <v>46185</v>
      </c>
      <c r="J216" t="s">
        <v>138</v>
      </c>
    </row>
    <row r="217" spans="1:10" x14ac:dyDescent="0.25">
      <c r="A217" t="s">
        <v>121</v>
      </c>
      <c r="B217" s="1">
        <v>46175</v>
      </c>
      <c r="C217" t="s">
        <v>8</v>
      </c>
      <c r="D217" t="s">
        <v>9</v>
      </c>
      <c r="E217" t="s">
        <v>166</v>
      </c>
      <c r="F217" s="6">
        <v>245</v>
      </c>
      <c r="G217" s="6"/>
      <c r="H217" s="1">
        <v>46192</v>
      </c>
      <c r="J217" t="s">
        <v>167</v>
      </c>
    </row>
    <row r="218" spans="1:10" x14ac:dyDescent="0.25">
      <c r="A218" t="s">
        <v>152</v>
      </c>
      <c r="B218" s="1">
        <v>46155</v>
      </c>
      <c r="C218" t="s">
        <v>8</v>
      </c>
      <c r="D218" t="s">
        <v>9</v>
      </c>
      <c r="E218" t="s">
        <v>176</v>
      </c>
      <c r="F218" s="6">
        <v>227.5</v>
      </c>
      <c r="G218" s="6"/>
      <c r="H218" s="1">
        <v>46199</v>
      </c>
      <c r="J218" t="s">
        <v>177</v>
      </c>
    </row>
    <row r="219" spans="1:10" x14ac:dyDescent="0.25">
      <c r="A219" t="s">
        <v>111</v>
      </c>
      <c r="B219" s="1">
        <v>46177</v>
      </c>
      <c r="C219" t="s">
        <v>8</v>
      </c>
      <c r="D219" t="s">
        <v>9</v>
      </c>
      <c r="E219" t="s">
        <v>178</v>
      </c>
      <c r="F219" s="6">
        <v>262.5</v>
      </c>
      <c r="G219" s="6"/>
      <c r="H219" s="1">
        <v>46200</v>
      </c>
      <c r="J219" t="s">
        <v>179</v>
      </c>
    </row>
    <row r="220" spans="1:10" x14ac:dyDescent="0.25">
      <c r="A220" t="s">
        <v>147</v>
      </c>
      <c r="B220" s="1">
        <v>46177</v>
      </c>
      <c r="C220" t="s">
        <v>8</v>
      </c>
      <c r="D220" t="s">
        <v>9</v>
      </c>
      <c r="E220" t="s">
        <v>195</v>
      </c>
      <c r="F220" s="6">
        <v>157.5</v>
      </c>
      <c r="G220" s="6"/>
      <c r="H220" s="1">
        <v>46209</v>
      </c>
      <c r="J220" t="s">
        <v>196</v>
      </c>
    </row>
    <row r="221" spans="1:10" x14ac:dyDescent="0.25">
      <c r="A221" t="s">
        <v>190</v>
      </c>
      <c r="B221" s="1">
        <v>46190</v>
      </c>
      <c r="C221" t="s">
        <v>8</v>
      </c>
      <c r="D221" t="s">
        <v>9</v>
      </c>
      <c r="E221" t="s">
        <v>224</v>
      </c>
      <c r="F221" s="6">
        <v>140</v>
      </c>
      <c r="G221" s="6"/>
      <c r="H221" s="1">
        <v>46213</v>
      </c>
      <c r="J221" t="s">
        <v>225</v>
      </c>
    </row>
    <row r="222" spans="1:10" x14ac:dyDescent="0.25">
      <c r="A222" t="s">
        <v>215</v>
      </c>
      <c r="B222" s="1">
        <v>46205</v>
      </c>
      <c r="C222" t="s">
        <v>8</v>
      </c>
      <c r="D222" t="s">
        <v>9</v>
      </c>
      <c r="E222" t="s">
        <v>264</v>
      </c>
      <c r="F222" s="6">
        <v>175</v>
      </c>
      <c r="G222" s="6"/>
      <c r="H222" s="1">
        <v>46220</v>
      </c>
      <c r="J222" t="s">
        <v>265</v>
      </c>
    </row>
    <row r="223" spans="1:10" x14ac:dyDescent="0.25">
      <c r="A223" t="s">
        <v>184</v>
      </c>
      <c r="B223" s="1">
        <v>46176</v>
      </c>
      <c r="C223" t="s">
        <v>8</v>
      </c>
      <c r="D223" t="s">
        <v>9</v>
      </c>
      <c r="E223" t="s">
        <v>283</v>
      </c>
      <c r="F223" s="6">
        <v>262.5</v>
      </c>
      <c r="G223" s="6"/>
      <c r="H223" s="1">
        <v>46222</v>
      </c>
      <c r="J223" t="s">
        <v>284</v>
      </c>
    </row>
    <row r="224" spans="1:10" x14ac:dyDescent="0.25">
      <c r="A224" t="s">
        <v>204</v>
      </c>
      <c r="B224" s="1">
        <v>46175</v>
      </c>
      <c r="C224" t="s">
        <v>8</v>
      </c>
      <c r="D224" t="s">
        <v>9</v>
      </c>
      <c r="E224" t="s">
        <v>337</v>
      </c>
      <c r="F224" s="6">
        <v>157.5</v>
      </c>
      <c r="G224" s="6"/>
      <c r="H224" s="1">
        <v>46228</v>
      </c>
      <c r="J224" t="s">
        <v>338</v>
      </c>
    </row>
    <row r="225" spans="1:10" x14ac:dyDescent="0.25">
      <c r="A225" t="s">
        <v>233</v>
      </c>
      <c r="B225" s="1">
        <v>46177</v>
      </c>
      <c r="C225" t="s">
        <v>8</v>
      </c>
      <c r="D225" t="s">
        <v>9</v>
      </c>
      <c r="E225" t="s">
        <v>344</v>
      </c>
      <c r="F225" s="6">
        <v>262.5</v>
      </c>
      <c r="G225" s="6"/>
      <c r="H225" s="1">
        <v>46230</v>
      </c>
      <c r="J225" t="s">
        <v>345</v>
      </c>
    </row>
    <row r="226" spans="1:10" x14ac:dyDescent="0.25">
      <c r="A226" t="s">
        <v>309</v>
      </c>
      <c r="B226" s="1">
        <v>46218</v>
      </c>
      <c r="C226" t="s">
        <v>8</v>
      </c>
      <c r="D226" t="s">
        <v>9</v>
      </c>
      <c r="E226" t="s">
        <v>390</v>
      </c>
      <c r="F226" s="6">
        <v>157.5</v>
      </c>
      <c r="G226" s="6"/>
      <c r="H226" s="1">
        <v>46234</v>
      </c>
      <c r="J226" t="s">
        <v>391</v>
      </c>
    </row>
    <row r="227" spans="1:10" x14ac:dyDescent="0.25">
      <c r="A227" t="s">
        <v>212</v>
      </c>
      <c r="B227" s="1">
        <v>46178</v>
      </c>
      <c r="C227" t="s">
        <v>8</v>
      </c>
      <c r="D227" t="s">
        <v>9</v>
      </c>
      <c r="E227" t="s">
        <v>405</v>
      </c>
      <c r="F227" s="6">
        <v>227.5</v>
      </c>
      <c r="G227" s="6"/>
      <c r="H227" s="1">
        <v>46235</v>
      </c>
      <c r="J227" t="s">
        <v>406</v>
      </c>
    </row>
    <row r="228" spans="1:10" x14ac:dyDescent="0.25">
      <c r="A228" t="s">
        <v>290</v>
      </c>
      <c r="B228" s="1">
        <v>46181</v>
      </c>
      <c r="C228" t="s">
        <v>8</v>
      </c>
      <c r="D228" t="s">
        <v>9</v>
      </c>
      <c r="E228" t="s">
        <v>465</v>
      </c>
      <c r="F228" s="6">
        <v>122.5</v>
      </c>
      <c r="G228" s="6"/>
      <c r="H228" s="1">
        <v>46240</v>
      </c>
      <c r="J228" t="s">
        <v>466</v>
      </c>
    </row>
    <row r="229" spans="1:10" x14ac:dyDescent="0.25">
      <c r="A229" t="s">
        <v>462</v>
      </c>
      <c r="B229" s="1">
        <v>46218</v>
      </c>
      <c r="C229" t="s">
        <v>8</v>
      </c>
      <c r="D229" t="s">
        <v>9</v>
      </c>
      <c r="E229" t="s">
        <v>495</v>
      </c>
      <c r="F229" s="6">
        <v>227.5</v>
      </c>
      <c r="G229" s="6"/>
      <c r="H229" s="1">
        <v>46241</v>
      </c>
      <c r="J229" t="s">
        <v>496</v>
      </c>
    </row>
    <row r="230" spans="1:10" x14ac:dyDescent="0.25">
      <c r="A230" t="s">
        <v>180</v>
      </c>
      <c r="B230" s="1">
        <v>46241</v>
      </c>
      <c r="C230" t="s">
        <v>8</v>
      </c>
      <c r="D230" t="s">
        <v>9</v>
      </c>
      <c r="E230" t="s">
        <v>497</v>
      </c>
      <c r="F230" s="6">
        <v>70</v>
      </c>
      <c r="G230" s="6"/>
      <c r="H230" s="1">
        <v>46241</v>
      </c>
      <c r="J230" t="s">
        <v>498</v>
      </c>
    </row>
    <row r="231" spans="1:10" x14ac:dyDescent="0.25">
      <c r="A231" t="s">
        <v>180</v>
      </c>
      <c r="B231" s="1">
        <v>46241</v>
      </c>
      <c r="C231" t="s">
        <v>8</v>
      </c>
      <c r="D231" t="s">
        <v>9</v>
      </c>
      <c r="E231" t="s">
        <v>499</v>
      </c>
      <c r="F231" s="6">
        <v>35</v>
      </c>
      <c r="G231" s="6"/>
      <c r="H231" s="1">
        <v>46241</v>
      </c>
      <c r="J231" t="s">
        <v>500</v>
      </c>
    </row>
    <row r="232" spans="1:10" x14ac:dyDescent="0.25">
      <c r="A232" t="s">
        <v>198</v>
      </c>
      <c r="B232" s="1">
        <v>46181</v>
      </c>
      <c r="C232" t="s">
        <v>8</v>
      </c>
      <c r="D232" t="s">
        <v>9</v>
      </c>
      <c r="E232" t="s">
        <v>550</v>
      </c>
      <c r="F232" s="6">
        <v>192.5</v>
      </c>
      <c r="G232" s="6"/>
      <c r="H232" s="1">
        <v>46250</v>
      </c>
      <c r="J232" t="s">
        <v>551</v>
      </c>
    </row>
    <row r="233" spans="1:10" x14ac:dyDescent="0.25">
      <c r="A233" t="s">
        <v>287</v>
      </c>
      <c r="B233" s="1">
        <v>46238</v>
      </c>
      <c r="C233" t="s">
        <v>8</v>
      </c>
      <c r="D233" t="s">
        <v>9</v>
      </c>
      <c r="E233" t="s">
        <v>586</v>
      </c>
      <c r="F233" s="6">
        <v>17.5</v>
      </c>
      <c r="G233" s="6"/>
      <c r="H233" s="1">
        <v>46255</v>
      </c>
      <c r="J233" t="s">
        <v>587</v>
      </c>
    </row>
    <row r="234" spans="1:10" x14ac:dyDescent="0.25">
      <c r="A234" t="s">
        <v>287</v>
      </c>
      <c r="B234" s="1">
        <v>46238</v>
      </c>
      <c r="C234" t="s">
        <v>8</v>
      </c>
      <c r="D234" t="s">
        <v>9</v>
      </c>
      <c r="E234" t="s">
        <v>588</v>
      </c>
      <c r="F234" s="6">
        <v>17.5</v>
      </c>
      <c r="G234" s="6"/>
      <c r="H234" s="1">
        <v>46255</v>
      </c>
      <c r="J234" t="s">
        <v>589</v>
      </c>
    </row>
    <row r="235" spans="1:10" x14ac:dyDescent="0.25">
      <c r="A235" t="s">
        <v>446</v>
      </c>
      <c r="B235" s="1">
        <v>46238</v>
      </c>
      <c r="C235" t="s">
        <v>8</v>
      </c>
      <c r="D235" t="s">
        <v>9</v>
      </c>
      <c r="E235" t="s">
        <v>590</v>
      </c>
      <c r="F235" s="6">
        <v>192.5</v>
      </c>
      <c r="G235" s="6"/>
      <c r="H235" s="1">
        <v>46255</v>
      </c>
      <c r="J235" t="s">
        <v>591</v>
      </c>
    </row>
    <row r="236" spans="1:10" x14ac:dyDescent="0.25">
      <c r="A236" t="s">
        <v>366</v>
      </c>
      <c r="B236" s="1">
        <v>46241</v>
      </c>
      <c r="C236" t="s">
        <v>8</v>
      </c>
      <c r="D236" t="s">
        <v>9</v>
      </c>
      <c r="E236" t="s">
        <v>606</v>
      </c>
      <c r="F236" s="6">
        <v>262.5</v>
      </c>
      <c r="G236" s="6"/>
      <c r="H236" s="1">
        <v>46262</v>
      </c>
      <c r="J236" t="s">
        <v>607</v>
      </c>
    </row>
    <row r="237" spans="1:10" x14ac:dyDescent="0.25">
      <c r="A237" t="s">
        <v>348</v>
      </c>
      <c r="B237" s="1">
        <v>46245</v>
      </c>
      <c r="C237" t="s">
        <v>8</v>
      </c>
      <c r="D237" t="s">
        <v>9</v>
      </c>
      <c r="E237" t="s">
        <v>724</v>
      </c>
      <c r="F237" s="6">
        <v>245</v>
      </c>
      <c r="G237" s="6"/>
      <c r="H237" s="1">
        <v>46269</v>
      </c>
      <c r="J237" t="s">
        <v>725</v>
      </c>
    </row>
    <row r="238" spans="1:10" x14ac:dyDescent="0.25">
      <c r="A238" t="s">
        <v>467</v>
      </c>
      <c r="B238" s="1">
        <v>46241</v>
      </c>
      <c r="C238" t="s">
        <v>8</v>
      </c>
      <c r="D238" t="s">
        <v>9</v>
      </c>
      <c r="E238" t="s">
        <v>651</v>
      </c>
      <c r="F238" s="6">
        <v>35</v>
      </c>
      <c r="G238" s="6"/>
      <c r="H238" s="1">
        <v>46274</v>
      </c>
      <c r="J238" t="s">
        <v>652</v>
      </c>
    </row>
    <row r="239" spans="1:10" x14ac:dyDescent="0.25">
      <c r="A239" t="s">
        <v>467</v>
      </c>
      <c r="B239" s="1">
        <v>46241</v>
      </c>
      <c r="C239" t="s">
        <v>8</v>
      </c>
      <c r="D239" t="s">
        <v>9</v>
      </c>
      <c r="E239" t="s">
        <v>683</v>
      </c>
      <c r="F239" s="6">
        <v>315</v>
      </c>
      <c r="G239" s="6"/>
      <c r="H239" s="1">
        <v>46278</v>
      </c>
      <c r="J239" t="s">
        <v>684</v>
      </c>
    </row>
    <row r="240" spans="1:10" x14ac:dyDescent="0.25">
      <c r="A240" t="s">
        <v>233</v>
      </c>
      <c r="B240" s="1">
        <v>46177</v>
      </c>
      <c r="C240" t="s">
        <v>8</v>
      </c>
      <c r="D240" t="s">
        <v>339</v>
      </c>
      <c r="E240" t="s">
        <v>340</v>
      </c>
      <c r="F240" s="6">
        <v>144</v>
      </c>
      <c r="G240" s="6"/>
      <c r="H240" s="1">
        <v>46229</v>
      </c>
      <c r="J240" t="s">
        <v>341</v>
      </c>
    </row>
    <row r="241" spans="1:10" x14ac:dyDescent="0.25">
      <c r="A241" t="s">
        <v>290</v>
      </c>
      <c r="B241" s="1">
        <v>46181</v>
      </c>
      <c r="C241" t="s">
        <v>8</v>
      </c>
      <c r="D241" t="s">
        <v>339</v>
      </c>
      <c r="E241" t="s">
        <v>501</v>
      </c>
      <c r="F241" s="6">
        <v>176</v>
      </c>
      <c r="G241" s="6"/>
      <c r="H241" s="1">
        <v>46241</v>
      </c>
      <c r="J241" t="s">
        <v>502</v>
      </c>
    </row>
    <row r="242" spans="1:10" x14ac:dyDescent="0.25">
      <c r="A242" t="s">
        <v>462</v>
      </c>
      <c r="B242" s="1">
        <v>46203</v>
      </c>
      <c r="C242" t="s">
        <v>8</v>
      </c>
      <c r="D242" t="s">
        <v>339</v>
      </c>
      <c r="E242" t="s">
        <v>503</v>
      </c>
      <c r="F242" s="6">
        <v>304</v>
      </c>
      <c r="G242" s="6"/>
      <c r="H242" s="1">
        <v>46241</v>
      </c>
      <c r="J242" t="s">
        <v>504</v>
      </c>
    </row>
    <row r="243" spans="1:10" x14ac:dyDescent="0.25">
      <c r="A243" t="s">
        <v>115</v>
      </c>
      <c r="B243" s="1">
        <v>46245</v>
      </c>
      <c r="C243" t="s">
        <v>8</v>
      </c>
      <c r="D243" t="s">
        <v>339</v>
      </c>
      <c r="E243" t="s">
        <v>764</v>
      </c>
      <c r="F243" s="6">
        <v>189</v>
      </c>
      <c r="G243" s="6"/>
      <c r="H243" s="1">
        <v>46245</v>
      </c>
      <c r="J243" t="s">
        <v>765</v>
      </c>
    </row>
    <row r="244" spans="1:10" x14ac:dyDescent="0.25">
      <c r="A244" t="s">
        <v>467</v>
      </c>
      <c r="B244" s="1">
        <v>46241</v>
      </c>
      <c r="C244" t="s">
        <v>8</v>
      </c>
      <c r="D244" t="s">
        <v>339</v>
      </c>
      <c r="E244" t="s">
        <v>653</v>
      </c>
      <c r="F244" s="6">
        <v>160</v>
      </c>
      <c r="G244" s="6"/>
      <c r="H244" s="1">
        <v>46274</v>
      </c>
      <c r="J244" t="s">
        <v>654</v>
      </c>
    </row>
    <row r="245" spans="1:10" x14ac:dyDescent="0.25">
      <c r="A245" t="s">
        <v>446</v>
      </c>
      <c r="B245" s="1">
        <v>46238</v>
      </c>
      <c r="C245" t="s">
        <v>8</v>
      </c>
      <c r="D245" t="s">
        <v>266</v>
      </c>
      <c r="E245" t="s">
        <v>540</v>
      </c>
      <c r="F245" s="6">
        <v>365.9</v>
      </c>
      <c r="G245" s="6"/>
      <c r="H245" s="1">
        <v>46248</v>
      </c>
      <c r="J245" t="s">
        <v>457</v>
      </c>
    </row>
    <row r="246" spans="1:10" x14ac:dyDescent="0.25">
      <c r="A246" t="s">
        <v>212</v>
      </c>
      <c r="B246" s="1">
        <v>46178</v>
      </c>
      <c r="C246" t="s">
        <v>8</v>
      </c>
      <c r="D246" t="s">
        <v>407</v>
      </c>
      <c r="E246" t="s">
        <v>408</v>
      </c>
      <c r="F246" s="6">
        <v>2024</v>
      </c>
      <c r="G246" s="6"/>
      <c r="H246" s="1">
        <v>46235</v>
      </c>
      <c r="J246" t="s">
        <v>409</v>
      </c>
    </row>
    <row r="247" spans="1:10" x14ac:dyDescent="0.25">
      <c r="A247" t="s">
        <v>159</v>
      </c>
      <c r="B247" s="1">
        <v>46178</v>
      </c>
      <c r="C247" t="s">
        <v>8</v>
      </c>
      <c r="D247" t="s">
        <v>392</v>
      </c>
      <c r="E247" t="s">
        <v>393</v>
      </c>
      <c r="F247" s="6">
        <v>400</v>
      </c>
      <c r="G247" s="6"/>
      <c r="H247" s="1">
        <v>46234</v>
      </c>
      <c r="J247" t="s">
        <v>394</v>
      </c>
    </row>
    <row r="248" spans="1:10" x14ac:dyDescent="0.25">
      <c r="A248" t="s">
        <v>94</v>
      </c>
      <c r="B248" s="1">
        <v>46147</v>
      </c>
      <c r="C248" t="s">
        <v>8</v>
      </c>
      <c r="D248" t="s">
        <v>55</v>
      </c>
      <c r="E248" t="s">
        <v>139</v>
      </c>
      <c r="F248" s="6">
        <v>1227.4000000000001</v>
      </c>
      <c r="G248" s="6"/>
      <c r="H248" s="1">
        <v>46185</v>
      </c>
      <c r="I248" t="s">
        <v>404</v>
      </c>
      <c r="J248" t="s">
        <v>140</v>
      </c>
    </row>
    <row r="249" spans="1:10" x14ac:dyDescent="0.25">
      <c r="A249" t="s">
        <v>115</v>
      </c>
      <c r="B249" s="1">
        <v>46128</v>
      </c>
      <c r="C249" t="s">
        <v>8</v>
      </c>
      <c r="D249" t="s">
        <v>55</v>
      </c>
      <c r="E249" t="s">
        <v>168</v>
      </c>
      <c r="F249" s="6">
        <v>1131.8</v>
      </c>
      <c r="G249" s="6"/>
      <c r="H249" s="1">
        <v>46192</v>
      </c>
      <c r="I249" t="s">
        <v>404</v>
      </c>
      <c r="J249" t="s">
        <v>169</v>
      </c>
    </row>
    <row r="250" spans="1:10" x14ac:dyDescent="0.25">
      <c r="A250" t="s">
        <v>159</v>
      </c>
      <c r="B250" s="1">
        <v>46178</v>
      </c>
      <c r="C250" t="s">
        <v>8</v>
      </c>
      <c r="D250" t="s">
        <v>55</v>
      </c>
      <c r="E250" t="s">
        <v>346</v>
      </c>
      <c r="F250" s="6">
        <v>1426</v>
      </c>
      <c r="G250" s="6"/>
      <c r="H250" s="1">
        <v>46230</v>
      </c>
      <c r="J250" t="s">
        <v>347</v>
      </c>
    </row>
    <row r="251" spans="1:10" x14ac:dyDescent="0.25">
      <c r="A251" t="s">
        <v>38</v>
      </c>
      <c r="B251" s="1">
        <v>46246</v>
      </c>
      <c r="C251" t="s">
        <v>8</v>
      </c>
      <c r="D251" t="s">
        <v>55</v>
      </c>
      <c r="E251" t="s">
        <v>766</v>
      </c>
      <c r="F251" s="6">
        <v>1253.4000000000001</v>
      </c>
      <c r="G251" s="6"/>
      <c r="H251" s="1">
        <v>46246</v>
      </c>
      <c r="J251" t="s">
        <v>767</v>
      </c>
    </row>
    <row r="252" spans="1:10" x14ac:dyDescent="0.25">
      <c r="A252" t="s">
        <v>115</v>
      </c>
      <c r="B252" s="1">
        <v>46246</v>
      </c>
      <c r="C252" t="s">
        <v>8</v>
      </c>
      <c r="D252" t="s">
        <v>55</v>
      </c>
      <c r="E252" t="s">
        <v>768</v>
      </c>
      <c r="F252" s="6"/>
      <c r="G252" s="6">
        <v>129.08000000000001</v>
      </c>
      <c r="H252" s="1">
        <v>46246</v>
      </c>
      <c r="J252" t="s">
        <v>769</v>
      </c>
    </row>
    <row r="253" spans="1:10" x14ac:dyDescent="0.25">
      <c r="A253" t="s">
        <v>204</v>
      </c>
      <c r="B253" s="1">
        <v>46246</v>
      </c>
      <c r="C253" t="s">
        <v>8</v>
      </c>
      <c r="D253" t="s">
        <v>55</v>
      </c>
      <c r="E253" t="s">
        <v>770</v>
      </c>
      <c r="F253" s="6">
        <v>971.8</v>
      </c>
      <c r="G253" s="6"/>
      <c r="H253" s="1">
        <v>46246</v>
      </c>
      <c r="J253" t="s">
        <v>771</v>
      </c>
    </row>
    <row r="254" spans="1:10" x14ac:dyDescent="0.25">
      <c r="A254" t="s">
        <v>212</v>
      </c>
      <c r="B254" s="1">
        <v>46184</v>
      </c>
      <c r="C254" t="s">
        <v>8</v>
      </c>
      <c r="D254" t="s">
        <v>55</v>
      </c>
      <c r="E254" t="s">
        <v>541</v>
      </c>
      <c r="F254" s="6">
        <v>72</v>
      </c>
      <c r="G254" s="6"/>
      <c r="H254" s="1">
        <v>46248</v>
      </c>
      <c r="J254" t="s">
        <v>542</v>
      </c>
    </row>
    <row r="255" spans="1:10" x14ac:dyDescent="0.25">
      <c r="A255" t="s">
        <v>348</v>
      </c>
      <c r="B255" s="1">
        <v>46245</v>
      </c>
      <c r="C255" t="s">
        <v>8</v>
      </c>
      <c r="D255" t="s">
        <v>55</v>
      </c>
      <c r="E255" t="s">
        <v>718</v>
      </c>
      <c r="F255" s="6">
        <v>1189.4000000000001</v>
      </c>
      <c r="G255" s="6"/>
      <c r="H255" s="1">
        <v>46255</v>
      </c>
      <c r="J255" t="s">
        <v>719</v>
      </c>
    </row>
    <row r="256" spans="1:10" x14ac:dyDescent="0.25">
      <c r="A256" t="s">
        <v>287</v>
      </c>
      <c r="B256" s="1">
        <v>46246</v>
      </c>
      <c r="C256" t="s">
        <v>8</v>
      </c>
      <c r="D256" t="s">
        <v>55</v>
      </c>
      <c r="E256" t="s">
        <v>772</v>
      </c>
      <c r="F256" s="6">
        <v>1228</v>
      </c>
      <c r="G256" s="6"/>
      <c r="H256" s="1">
        <v>46255</v>
      </c>
      <c r="J256" t="s">
        <v>773</v>
      </c>
    </row>
    <row r="257" spans="1:10" x14ac:dyDescent="0.25">
      <c r="A257" t="s">
        <v>287</v>
      </c>
      <c r="B257" s="1">
        <v>46246</v>
      </c>
      <c r="C257" t="s">
        <v>8</v>
      </c>
      <c r="D257" t="s">
        <v>55</v>
      </c>
      <c r="E257" t="s">
        <v>774</v>
      </c>
      <c r="F257" s="6">
        <v>1248.5999999999999</v>
      </c>
      <c r="G257" s="6"/>
      <c r="H257" s="1">
        <v>46255</v>
      </c>
      <c r="J257" t="s">
        <v>354</v>
      </c>
    </row>
    <row r="258" spans="1:10" x14ac:dyDescent="0.25">
      <c r="A258" t="s">
        <v>348</v>
      </c>
      <c r="B258" s="1">
        <v>46184</v>
      </c>
      <c r="C258" t="s">
        <v>8</v>
      </c>
      <c r="D258" t="s">
        <v>610</v>
      </c>
      <c r="E258" t="s">
        <v>611</v>
      </c>
      <c r="F258" s="6">
        <v>348</v>
      </c>
      <c r="G258" s="6"/>
      <c r="H258" s="1">
        <v>46265</v>
      </c>
      <c r="J258" t="s">
        <v>612</v>
      </c>
    </row>
    <row r="259" spans="1:10" x14ac:dyDescent="0.25">
      <c r="A259" t="s">
        <v>462</v>
      </c>
      <c r="B259" s="1">
        <v>46211</v>
      </c>
      <c r="C259" t="s">
        <v>8</v>
      </c>
      <c r="D259" t="s">
        <v>505</v>
      </c>
      <c r="E259" t="s">
        <v>506</v>
      </c>
      <c r="F259" s="6">
        <v>566.4</v>
      </c>
      <c r="G259" s="6"/>
      <c r="H259" s="1">
        <v>46241</v>
      </c>
      <c r="J259" t="s">
        <v>507</v>
      </c>
    </row>
    <row r="260" spans="1:10" x14ac:dyDescent="0.25">
      <c r="A260" t="s">
        <v>462</v>
      </c>
      <c r="B260" s="1">
        <v>46211</v>
      </c>
      <c r="C260" t="s">
        <v>8</v>
      </c>
      <c r="D260" t="s">
        <v>505</v>
      </c>
      <c r="E260" t="s">
        <v>508</v>
      </c>
      <c r="F260" s="6">
        <v>18.88</v>
      </c>
      <c r="G260" s="6"/>
      <c r="H260" s="1">
        <v>46241</v>
      </c>
      <c r="J260" t="s">
        <v>509</v>
      </c>
    </row>
    <row r="261" spans="1:10" x14ac:dyDescent="0.25">
      <c r="A261" t="s">
        <v>70</v>
      </c>
      <c r="B261" s="1">
        <v>46171</v>
      </c>
      <c r="C261" t="s">
        <v>8</v>
      </c>
      <c r="D261" t="s">
        <v>118</v>
      </c>
      <c r="E261" t="s">
        <v>119</v>
      </c>
      <c r="F261" s="6">
        <v>2335.2199999999998</v>
      </c>
      <c r="G261" s="6"/>
      <c r="H261" s="1">
        <v>46178</v>
      </c>
      <c r="I261" t="s">
        <v>730</v>
      </c>
      <c r="J261" t="s">
        <v>120</v>
      </c>
    </row>
    <row r="262" spans="1:10" x14ac:dyDescent="0.25">
      <c r="A262" t="s">
        <v>462</v>
      </c>
      <c r="B262" s="1">
        <v>46211</v>
      </c>
      <c r="C262" t="s">
        <v>8</v>
      </c>
      <c r="D262" t="s">
        <v>118</v>
      </c>
      <c r="E262" t="s">
        <v>510</v>
      </c>
      <c r="F262" s="6">
        <v>1333.4</v>
      </c>
      <c r="G262" s="6"/>
      <c r="H262" s="1">
        <v>46241</v>
      </c>
      <c r="J262" t="s">
        <v>511</v>
      </c>
    </row>
    <row r="263" spans="1:10" x14ac:dyDescent="0.25">
      <c r="A263" t="s">
        <v>49</v>
      </c>
      <c r="B263" s="1">
        <v>46171</v>
      </c>
      <c r="C263" t="s">
        <v>8</v>
      </c>
      <c r="D263" t="s">
        <v>87</v>
      </c>
      <c r="E263" t="s">
        <v>88</v>
      </c>
      <c r="F263" s="6">
        <v>9</v>
      </c>
      <c r="G263" s="6"/>
      <c r="H263" s="1">
        <v>46171</v>
      </c>
      <c r="I263" t="s">
        <v>404</v>
      </c>
      <c r="J263" t="s">
        <v>89</v>
      </c>
    </row>
    <row r="264" spans="1:10" x14ac:dyDescent="0.25">
      <c r="A264" t="s">
        <v>42</v>
      </c>
      <c r="B264" s="1">
        <v>46171</v>
      </c>
      <c r="C264" t="s">
        <v>8</v>
      </c>
      <c r="D264" t="s">
        <v>87</v>
      </c>
      <c r="E264" t="s">
        <v>90</v>
      </c>
      <c r="F264" s="6">
        <v>24</v>
      </c>
      <c r="G264" s="6"/>
      <c r="H264" s="1">
        <v>46171</v>
      </c>
      <c r="I264" t="s">
        <v>404</v>
      </c>
      <c r="J264" t="s">
        <v>91</v>
      </c>
    </row>
    <row r="265" spans="1:10" x14ac:dyDescent="0.25">
      <c r="A265" t="s">
        <v>106</v>
      </c>
      <c r="B265" s="1">
        <v>46135</v>
      </c>
      <c r="C265" t="s">
        <v>8</v>
      </c>
      <c r="D265" t="s">
        <v>87</v>
      </c>
      <c r="E265" t="s">
        <v>107</v>
      </c>
      <c r="F265" s="6">
        <v>63</v>
      </c>
      <c r="G265" s="6"/>
      <c r="H265" s="1">
        <v>46175</v>
      </c>
      <c r="I265" t="s">
        <v>697</v>
      </c>
      <c r="J265" t="s">
        <v>108</v>
      </c>
    </row>
    <row r="266" spans="1:10" x14ac:dyDescent="0.25">
      <c r="A266" t="s">
        <v>38</v>
      </c>
      <c r="B266" s="1">
        <v>46190</v>
      </c>
      <c r="C266" t="s">
        <v>8</v>
      </c>
      <c r="D266" t="s">
        <v>87</v>
      </c>
      <c r="E266" t="s">
        <v>150</v>
      </c>
      <c r="F266" s="6">
        <v>25</v>
      </c>
      <c r="G266" s="6"/>
      <c r="H266" s="1">
        <v>46190</v>
      </c>
      <c r="J266" t="s">
        <v>151</v>
      </c>
    </row>
    <row r="267" spans="1:10" x14ac:dyDescent="0.25">
      <c r="A267" t="s">
        <v>190</v>
      </c>
      <c r="B267" s="1">
        <v>46190</v>
      </c>
      <c r="C267" t="s">
        <v>8</v>
      </c>
      <c r="D267" t="s">
        <v>87</v>
      </c>
      <c r="E267" t="s">
        <v>226</v>
      </c>
      <c r="F267" s="6">
        <v>54</v>
      </c>
      <c r="G267" s="6"/>
      <c r="H267" s="1">
        <v>46213</v>
      </c>
      <c r="J267" t="s">
        <v>227</v>
      </c>
    </row>
    <row r="268" spans="1:10" x14ac:dyDescent="0.25">
      <c r="A268" t="s">
        <v>233</v>
      </c>
      <c r="B268" s="1">
        <v>46178</v>
      </c>
      <c r="C268" t="s">
        <v>8</v>
      </c>
      <c r="D268" t="s">
        <v>87</v>
      </c>
      <c r="E268" t="s">
        <v>267</v>
      </c>
      <c r="F268" s="6">
        <v>74</v>
      </c>
      <c r="G268" s="6"/>
      <c r="H268" s="1">
        <v>46220</v>
      </c>
      <c r="J268" t="s">
        <v>268</v>
      </c>
    </row>
    <row r="269" spans="1:10" x14ac:dyDescent="0.25">
      <c r="A269" t="s">
        <v>121</v>
      </c>
      <c r="B269" s="1">
        <v>46204</v>
      </c>
      <c r="C269" t="s">
        <v>8</v>
      </c>
      <c r="D269" t="s">
        <v>87</v>
      </c>
      <c r="E269" t="s">
        <v>269</v>
      </c>
      <c r="F269" s="6">
        <v>87</v>
      </c>
      <c r="G269" s="6"/>
      <c r="H269" s="1">
        <v>46220</v>
      </c>
      <c r="I269" t="s">
        <v>735</v>
      </c>
      <c r="J269" t="s">
        <v>270</v>
      </c>
    </row>
    <row r="270" spans="1:10" x14ac:dyDescent="0.25">
      <c r="A270" t="s">
        <v>159</v>
      </c>
      <c r="B270" s="1">
        <v>46178</v>
      </c>
      <c r="C270" t="s">
        <v>8</v>
      </c>
      <c r="D270" t="s">
        <v>87</v>
      </c>
      <c r="E270" t="s">
        <v>395</v>
      </c>
      <c r="F270" s="6">
        <v>87</v>
      </c>
      <c r="G270" s="6"/>
      <c r="H270" s="1">
        <v>46234</v>
      </c>
      <c r="J270" t="s">
        <v>396</v>
      </c>
    </row>
    <row r="271" spans="1:10" x14ac:dyDescent="0.25">
      <c r="A271" t="s">
        <v>212</v>
      </c>
      <c r="B271" s="1">
        <v>46178</v>
      </c>
      <c r="C271" t="s">
        <v>8</v>
      </c>
      <c r="D271" t="s">
        <v>87</v>
      </c>
      <c r="E271" t="s">
        <v>397</v>
      </c>
      <c r="F271" s="6">
        <v>137</v>
      </c>
      <c r="G271" s="6"/>
      <c r="H271" s="1">
        <v>46234</v>
      </c>
      <c r="J271" t="s">
        <v>398</v>
      </c>
    </row>
    <row r="272" spans="1:10" x14ac:dyDescent="0.25">
      <c r="A272" t="s">
        <v>106</v>
      </c>
      <c r="B272" s="1">
        <v>46245</v>
      </c>
      <c r="C272" t="s">
        <v>8</v>
      </c>
      <c r="D272" t="s">
        <v>87</v>
      </c>
      <c r="E272" t="s">
        <v>775</v>
      </c>
      <c r="F272" s="6">
        <v>63</v>
      </c>
      <c r="G272" s="6"/>
      <c r="H272" s="1">
        <v>46245</v>
      </c>
      <c r="J272" t="s">
        <v>776</v>
      </c>
    </row>
    <row r="273" spans="1:10" x14ac:dyDescent="0.25">
      <c r="A273" t="s">
        <v>147</v>
      </c>
      <c r="B273" s="1">
        <v>46245</v>
      </c>
      <c r="C273" t="s">
        <v>8</v>
      </c>
      <c r="D273" t="s">
        <v>87</v>
      </c>
      <c r="E273" t="s">
        <v>777</v>
      </c>
      <c r="F273" s="6">
        <v>68</v>
      </c>
      <c r="G273" s="6"/>
      <c r="H273" s="1">
        <v>46245</v>
      </c>
      <c r="J273" t="s">
        <v>778</v>
      </c>
    </row>
    <row r="274" spans="1:10" x14ac:dyDescent="0.25">
      <c r="A274" t="s">
        <v>446</v>
      </c>
      <c r="B274" s="1">
        <v>46234</v>
      </c>
      <c r="C274" t="s">
        <v>8</v>
      </c>
      <c r="D274" t="s">
        <v>87</v>
      </c>
      <c r="E274" t="s">
        <v>543</v>
      </c>
      <c r="F274" s="6">
        <v>26</v>
      </c>
      <c r="G274" s="6"/>
      <c r="H274" s="1">
        <v>46248</v>
      </c>
      <c r="J274" t="s">
        <v>544</v>
      </c>
    </row>
    <row r="275" spans="1:10" x14ac:dyDescent="0.25">
      <c r="A275" t="s">
        <v>348</v>
      </c>
      <c r="B275" s="1">
        <v>46225</v>
      </c>
      <c r="C275" t="s">
        <v>8</v>
      </c>
      <c r="D275" t="s">
        <v>87</v>
      </c>
      <c r="E275" t="s">
        <v>623</v>
      </c>
      <c r="F275" s="6">
        <v>87</v>
      </c>
      <c r="G275" s="6"/>
      <c r="H275" s="1">
        <v>46269</v>
      </c>
      <c r="J275" t="s">
        <v>624</v>
      </c>
    </row>
    <row r="276" spans="1:10" x14ac:dyDescent="0.25">
      <c r="A276" t="s">
        <v>467</v>
      </c>
      <c r="B276" s="1">
        <v>46241</v>
      </c>
      <c r="C276" t="s">
        <v>8</v>
      </c>
      <c r="D276" t="s">
        <v>87</v>
      </c>
      <c r="E276" t="s">
        <v>655</v>
      </c>
      <c r="F276" s="6">
        <v>26</v>
      </c>
      <c r="G276" s="6"/>
      <c r="H276" s="1">
        <v>46274</v>
      </c>
      <c r="J276" t="s">
        <v>656</v>
      </c>
    </row>
    <row r="277" spans="1:10" x14ac:dyDescent="0.25">
      <c r="A277" t="s">
        <v>467</v>
      </c>
      <c r="B277" s="1">
        <v>46241</v>
      </c>
      <c r="C277" t="s">
        <v>8</v>
      </c>
      <c r="D277" t="s">
        <v>87</v>
      </c>
      <c r="E277" t="s">
        <v>657</v>
      </c>
      <c r="F277" s="6">
        <v>32</v>
      </c>
      <c r="G277" s="6"/>
      <c r="H277" s="1">
        <v>46274</v>
      </c>
      <c r="J277" t="s">
        <v>658</v>
      </c>
    </row>
    <row r="278" spans="1:10" x14ac:dyDescent="0.25">
      <c r="A278" t="s">
        <v>467</v>
      </c>
      <c r="B278" s="1">
        <v>46241</v>
      </c>
      <c r="C278" t="s">
        <v>8</v>
      </c>
      <c r="D278" t="s">
        <v>87</v>
      </c>
      <c r="E278" t="s">
        <v>659</v>
      </c>
      <c r="F278" s="6">
        <v>72</v>
      </c>
      <c r="G278" s="6"/>
      <c r="H278" s="1">
        <v>46274</v>
      </c>
      <c r="J278" t="s">
        <v>660</v>
      </c>
    </row>
    <row r="279" spans="1:10" x14ac:dyDescent="0.25">
      <c r="A279" t="s">
        <v>467</v>
      </c>
      <c r="B279" s="1">
        <v>46241</v>
      </c>
      <c r="C279" t="s">
        <v>8</v>
      </c>
      <c r="D279" t="s">
        <v>87</v>
      </c>
      <c r="E279" t="s">
        <v>661</v>
      </c>
      <c r="F279" s="6">
        <v>64</v>
      </c>
      <c r="G279" s="6"/>
      <c r="H279" s="1">
        <v>46274</v>
      </c>
      <c r="J279" t="s">
        <v>662</v>
      </c>
    </row>
    <row r="280" spans="1:10" x14ac:dyDescent="0.25">
      <c r="A280" t="s">
        <v>467</v>
      </c>
      <c r="B280" s="1">
        <v>46241</v>
      </c>
      <c r="C280" t="s">
        <v>8</v>
      </c>
      <c r="D280" t="s">
        <v>87</v>
      </c>
      <c r="E280" t="s">
        <v>663</v>
      </c>
      <c r="F280" s="6">
        <v>35.4</v>
      </c>
      <c r="G280" s="6"/>
      <c r="H280" s="1">
        <v>46274</v>
      </c>
      <c r="J280" t="s">
        <v>664</v>
      </c>
    </row>
    <row r="281" spans="1:10" x14ac:dyDescent="0.25">
      <c r="A281" t="s">
        <v>467</v>
      </c>
      <c r="B281" s="1">
        <v>46241</v>
      </c>
      <c r="C281" t="s">
        <v>8</v>
      </c>
      <c r="D281" t="s">
        <v>87</v>
      </c>
      <c r="E281" t="s">
        <v>665</v>
      </c>
      <c r="F281" s="6">
        <v>23</v>
      </c>
      <c r="G281" s="6"/>
      <c r="H281" s="1">
        <v>46274</v>
      </c>
      <c r="J281" t="s">
        <v>666</v>
      </c>
    </row>
    <row r="282" spans="1:10" x14ac:dyDescent="0.25">
      <c r="A282" t="s">
        <v>467</v>
      </c>
      <c r="B282" s="1">
        <v>46241</v>
      </c>
      <c r="C282" t="s">
        <v>8</v>
      </c>
      <c r="D282" t="s">
        <v>87</v>
      </c>
      <c r="E282" t="s">
        <v>667</v>
      </c>
      <c r="F282" s="6">
        <v>25</v>
      </c>
      <c r="G282" s="6"/>
      <c r="H282" s="1">
        <v>46274</v>
      </c>
      <c r="J282" t="s">
        <v>668</v>
      </c>
    </row>
    <row r="283" spans="1:10" x14ac:dyDescent="0.25">
      <c r="A283" s="8" t="s">
        <v>19</v>
      </c>
      <c r="B283" s="9">
        <v>46116</v>
      </c>
      <c r="C283" s="8" t="s">
        <v>8</v>
      </c>
      <c r="D283" s="8" t="s">
        <v>17</v>
      </c>
      <c r="E283" s="8" t="s">
        <v>20</v>
      </c>
      <c r="F283" s="10">
        <v>607.70000000000005</v>
      </c>
      <c r="G283" s="10"/>
      <c r="H283" s="9">
        <v>46140</v>
      </c>
      <c r="I283" s="8" t="s">
        <v>726</v>
      </c>
      <c r="J283" s="8" t="s">
        <v>21</v>
      </c>
    </row>
    <row r="284" spans="1:10" x14ac:dyDescent="0.25">
      <c r="A284" t="s">
        <v>70</v>
      </c>
      <c r="B284" s="1">
        <v>46149</v>
      </c>
      <c r="C284" t="s">
        <v>8</v>
      </c>
      <c r="D284" t="s">
        <v>17</v>
      </c>
      <c r="E284" t="s">
        <v>71</v>
      </c>
      <c r="F284" s="6">
        <v>65.680000000000007</v>
      </c>
      <c r="G284" s="6"/>
      <c r="H284" s="1">
        <v>46164</v>
      </c>
      <c r="I284" t="s">
        <v>404</v>
      </c>
      <c r="J284" t="s">
        <v>72</v>
      </c>
    </row>
    <row r="285" spans="1:10" x14ac:dyDescent="0.25">
      <c r="A285" t="s">
        <v>70</v>
      </c>
      <c r="B285" s="1">
        <v>46153</v>
      </c>
      <c r="C285" t="s">
        <v>8</v>
      </c>
      <c r="D285" t="s">
        <v>17</v>
      </c>
      <c r="E285" t="s">
        <v>92</v>
      </c>
      <c r="F285" s="6">
        <v>51.92</v>
      </c>
      <c r="G285" s="6"/>
      <c r="H285" s="1">
        <v>46171</v>
      </c>
      <c r="I285" t="s">
        <v>404</v>
      </c>
      <c r="J285" t="s">
        <v>93</v>
      </c>
    </row>
    <row r="286" spans="1:10" x14ac:dyDescent="0.25">
      <c r="A286" t="s">
        <v>56</v>
      </c>
      <c r="B286" s="1">
        <v>46169</v>
      </c>
      <c r="C286" t="s">
        <v>8</v>
      </c>
      <c r="D286" t="s">
        <v>17</v>
      </c>
      <c r="E286" t="s">
        <v>95</v>
      </c>
      <c r="F286" s="6">
        <v>88.5</v>
      </c>
      <c r="G286" s="6"/>
      <c r="H286" s="1">
        <v>46171</v>
      </c>
      <c r="I286" t="s">
        <v>404</v>
      </c>
      <c r="J286" t="s">
        <v>96</v>
      </c>
    </row>
    <row r="287" spans="1:10" x14ac:dyDescent="0.25">
      <c r="A287" t="s">
        <v>56</v>
      </c>
      <c r="B287" s="1">
        <v>46169</v>
      </c>
      <c r="C287" t="s">
        <v>8</v>
      </c>
      <c r="D287" t="s">
        <v>17</v>
      </c>
      <c r="E287" t="s">
        <v>97</v>
      </c>
      <c r="F287" s="6">
        <v>88.5</v>
      </c>
      <c r="G287" s="6"/>
      <c r="H287" s="1">
        <v>46171</v>
      </c>
      <c r="I287" t="s">
        <v>404</v>
      </c>
      <c r="J287" t="s">
        <v>96</v>
      </c>
    </row>
    <row r="288" spans="1:10" x14ac:dyDescent="0.25">
      <c r="A288" t="s">
        <v>70</v>
      </c>
      <c r="B288" s="1">
        <v>46169</v>
      </c>
      <c r="C288" t="s">
        <v>8</v>
      </c>
      <c r="D288" t="s">
        <v>17</v>
      </c>
      <c r="E288" t="s">
        <v>98</v>
      </c>
      <c r="F288" s="6">
        <v>27.14</v>
      </c>
      <c r="G288" s="6"/>
      <c r="H288" s="1">
        <v>46171</v>
      </c>
      <c r="I288" t="s">
        <v>404</v>
      </c>
      <c r="J288" t="s">
        <v>99</v>
      </c>
    </row>
    <row r="289" spans="1:10" x14ac:dyDescent="0.25">
      <c r="A289" t="s">
        <v>70</v>
      </c>
      <c r="B289" s="1">
        <v>46169</v>
      </c>
      <c r="C289" t="s">
        <v>8</v>
      </c>
      <c r="D289" t="s">
        <v>17</v>
      </c>
      <c r="E289" t="s">
        <v>100</v>
      </c>
      <c r="F289" s="6">
        <v>27.14</v>
      </c>
      <c r="G289" s="6"/>
      <c r="H289" s="1">
        <v>46171</v>
      </c>
      <c r="I289" t="s">
        <v>404</v>
      </c>
      <c r="J289" t="s">
        <v>99</v>
      </c>
    </row>
    <row r="290" spans="1:10" x14ac:dyDescent="0.25">
      <c r="A290" t="s">
        <v>70</v>
      </c>
      <c r="B290" s="1">
        <v>46169</v>
      </c>
      <c r="C290" t="s">
        <v>8</v>
      </c>
      <c r="D290" t="s">
        <v>17</v>
      </c>
      <c r="E290" t="s">
        <v>101</v>
      </c>
      <c r="F290" s="6">
        <v>11.8</v>
      </c>
      <c r="G290" s="6"/>
      <c r="H290" s="1">
        <v>46171</v>
      </c>
      <c r="I290" t="s">
        <v>404</v>
      </c>
      <c r="J290" t="s">
        <v>102</v>
      </c>
    </row>
    <row r="291" spans="1:10" x14ac:dyDescent="0.25">
      <c r="A291" t="s">
        <v>70</v>
      </c>
      <c r="B291" s="1">
        <v>46169</v>
      </c>
      <c r="C291" t="s">
        <v>8</v>
      </c>
      <c r="D291" t="s">
        <v>17</v>
      </c>
      <c r="E291" t="s">
        <v>103</v>
      </c>
      <c r="F291" s="6">
        <v>11.8</v>
      </c>
      <c r="G291" s="6"/>
      <c r="H291" s="1">
        <v>46171</v>
      </c>
      <c r="I291" t="s">
        <v>404</v>
      </c>
      <c r="J291" t="s">
        <v>102</v>
      </c>
    </row>
    <row r="292" spans="1:10" x14ac:dyDescent="0.25">
      <c r="A292" t="s">
        <v>121</v>
      </c>
      <c r="B292" s="1">
        <v>46191</v>
      </c>
      <c r="C292" t="s">
        <v>8</v>
      </c>
      <c r="D292" t="s">
        <v>17</v>
      </c>
      <c r="E292" t="s">
        <v>122</v>
      </c>
      <c r="F292" s="6">
        <v>60.77</v>
      </c>
      <c r="G292" s="6"/>
      <c r="H292" s="1">
        <v>46180</v>
      </c>
      <c r="I292" t="s">
        <v>731</v>
      </c>
      <c r="J292" t="s">
        <v>123</v>
      </c>
    </row>
    <row r="293" spans="1:10" x14ac:dyDescent="0.25">
      <c r="A293" t="s">
        <v>111</v>
      </c>
      <c r="B293" s="1">
        <v>46155</v>
      </c>
      <c r="C293" t="s">
        <v>8</v>
      </c>
      <c r="D293" t="s">
        <v>17</v>
      </c>
      <c r="E293" t="s">
        <v>141</v>
      </c>
      <c r="F293" s="6">
        <v>35.4</v>
      </c>
      <c r="G293" s="6"/>
      <c r="H293" s="1">
        <v>46185</v>
      </c>
      <c r="I293" t="s">
        <v>404</v>
      </c>
      <c r="J293" t="s">
        <v>142</v>
      </c>
    </row>
    <row r="294" spans="1:10" x14ac:dyDescent="0.25">
      <c r="A294" t="s">
        <v>147</v>
      </c>
      <c r="B294" s="1">
        <v>46175</v>
      </c>
      <c r="C294" t="s">
        <v>8</v>
      </c>
      <c r="D294" t="s">
        <v>17</v>
      </c>
      <c r="E294" t="s">
        <v>148</v>
      </c>
      <c r="F294" s="6">
        <v>103.84</v>
      </c>
      <c r="G294" s="6"/>
      <c r="H294" s="1">
        <v>46189</v>
      </c>
      <c r="J294" t="s">
        <v>149</v>
      </c>
    </row>
    <row r="295" spans="1:10" x14ac:dyDescent="0.25">
      <c r="A295" t="s">
        <v>121</v>
      </c>
      <c r="B295" s="1">
        <v>46191</v>
      </c>
      <c r="C295" t="s">
        <v>8</v>
      </c>
      <c r="D295" t="s">
        <v>17</v>
      </c>
      <c r="E295" t="s">
        <v>170</v>
      </c>
      <c r="F295" s="6">
        <v>60.77</v>
      </c>
      <c r="G295" s="6"/>
      <c r="H295" s="1">
        <v>46192</v>
      </c>
      <c r="I295" t="s">
        <v>731</v>
      </c>
      <c r="J295" t="s">
        <v>123</v>
      </c>
    </row>
    <row r="296" spans="1:10" x14ac:dyDescent="0.25">
      <c r="A296" t="s">
        <v>115</v>
      </c>
      <c r="B296" s="1">
        <v>46192</v>
      </c>
      <c r="C296" t="s">
        <v>8</v>
      </c>
      <c r="D296" t="s">
        <v>17</v>
      </c>
      <c r="E296" t="s">
        <v>171</v>
      </c>
      <c r="F296" s="6">
        <v>2.95</v>
      </c>
      <c r="G296" s="6"/>
      <c r="H296" s="1">
        <v>46192</v>
      </c>
      <c r="I296" t="s">
        <v>404</v>
      </c>
      <c r="J296" t="s">
        <v>172</v>
      </c>
    </row>
    <row r="297" spans="1:10" x14ac:dyDescent="0.25">
      <c r="A297" t="s">
        <v>115</v>
      </c>
      <c r="B297" s="1">
        <v>46192</v>
      </c>
      <c r="C297" t="s">
        <v>8</v>
      </c>
      <c r="D297" t="s">
        <v>17</v>
      </c>
      <c r="E297" t="s">
        <v>173</v>
      </c>
      <c r="F297" s="6">
        <v>2.95</v>
      </c>
      <c r="G297" s="6"/>
      <c r="H297" s="1">
        <v>46192</v>
      </c>
      <c r="I297" t="s">
        <v>404</v>
      </c>
      <c r="J297" t="s">
        <v>172</v>
      </c>
    </row>
    <row r="298" spans="1:10" x14ac:dyDescent="0.25">
      <c r="A298" t="s">
        <v>159</v>
      </c>
      <c r="B298" s="1">
        <v>46177</v>
      </c>
      <c r="C298" t="s">
        <v>8</v>
      </c>
      <c r="D298" t="s">
        <v>17</v>
      </c>
      <c r="E298" t="s">
        <v>399</v>
      </c>
      <c r="F298" s="6">
        <v>873.2</v>
      </c>
      <c r="G298" s="6"/>
      <c r="H298" s="1">
        <v>46234</v>
      </c>
      <c r="J298" t="s">
        <v>400</v>
      </c>
    </row>
    <row r="299" spans="1:10" x14ac:dyDescent="0.25">
      <c r="A299" t="s">
        <v>19</v>
      </c>
      <c r="B299" s="1">
        <v>46246</v>
      </c>
      <c r="C299" t="s">
        <v>8</v>
      </c>
      <c r="D299" t="s">
        <v>17</v>
      </c>
      <c r="E299" t="s">
        <v>779</v>
      </c>
      <c r="F299" s="6">
        <v>17.7</v>
      </c>
      <c r="G299" s="6"/>
      <c r="H299" s="1">
        <v>46246</v>
      </c>
      <c r="J299" t="s">
        <v>780</v>
      </c>
    </row>
    <row r="300" spans="1:10" x14ac:dyDescent="0.25">
      <c r="A300" t="s">
        <v>19</v>
      </c>
      <c r="B300" s="1">
        <v>46246</v>
      </c>
      <c r="C300" t="s">
        <v>8</v>
      </c>
      <c r="D300" t="s">
        <v>17</v>
      </c>
      <c r="E300" t="s">
        <v>781</v>
      </c>
      <c r="F300" s="6">
        <v>17.7</v>
      </c>
      <c r="G300" s="6"/>
      <c r="H300" s="1">
        <v>46246</v>
      </c>
      <c r="J300" t="s">
        <v>780</v>
      </c>
    </row>
    <row r="301" spans="1:10" x14ac:dyDescent="0.25">
      <c r="A301" t="s">
        <v>94</v>
      </c>
      <c r="B301" s="1">
        <v>46246</v>
      </c>
      <c r="C301" t="s">
        <v>8</v>
      </c>
      <c r="D301" t="s">
        <v>17</v>
      </c>
      <c r="E301" t="s">
        <v>782</v>
      </c>
      <c r="F301" s="6">
        <v>110.92</v>
      </c>
      <c r="G301" s="6"/>
      <c r="H301" s="1">
        <v>46246</v>
      </c>
      <c r="J301" t="s">
        <v>783</v>
      </c>
    </row>
    <row r="302" spans="1:10" x14ac:dyDescent="0.25">
      <c r="A302" t="s">
        <v>94</v>
      </c>
      <c r="B302" s="1">
        <v>46246</v>
      </c>
      <c r="C302" t="s">
        <v>8</v>
      </c>
      <c r="D302" t="s">
        <v>17</v>
      </c>
      <c r="E302" t="s">
        <v>784</v>
      </c>
      <c r="F302" s="6">
        <v>110.92</v>
      </c>
      <c r="G302" s="6"/>
      <c r="H302" s="1">
        <v>46246</v>
      </c>
      <c r="J302" t="s">
        <v>783</v>
      </c>
    </row>
    <row r="303" spans="1:10" x14ac:dyDescent="0.25">
      <c r="A303" s="8" t="s">
        <v>366</v>
      </c>
      <c r="B303" s="9">
        <v>46209</v>
      </c>
      <c r="C303" s="8" t="s">
        <v>8</v>
      </c>
      <c r="D303" s="8" t="s">
        <v>17</v>
      </c>
      <c r="E303" s="8" t="s">
        <v>545</v>
      </c>
      <c r="F303" s="10">
        <v>86.14</v>
      </c>
      <c r="G303" s="10"/>
      <c r="H303" s="9">
        <v>46248</v>
      </c>
      <c r="I303" s="8" t="s">
        <v>790</v>
      </c>
      <c r="J303" s="8" t="s">
        <v>368</v>
      </c>
    </row>
    <row r="304" spans="1:10" x14ac:dyDescent="0.25">
      <c r="A304" t="s">
        <v>467</v>
      </c>
      <c r="B304" s="1">
        <v>46241</v>
      </c>
      <c r="C304" t="s">
        <v>8</v>
      </c>
      <c r="D304" t="s">
        <v>17</v>
      </c>
      <c r="E304" t="s">
        <v>669</v>
      </c>
      <c r="F304" s="6">
        <v>120.95</v>
      </c>
      <c r="G304" s="6"/>
      <c r="H304" s="1">
        <v>46274</v>
      </c>
      <c r="J304" t="s">
        <v>521</v>
      </c>
    </row>
    <row r="305" spans="1:10" x14ac:dyDescent="0.25">
      <c r="A305" t="s">
        <v>467</v>
      </c>
      <c r="B305" s="1">
        <v>46241</v>
      </c>
      <c r="C305" t="s">
        <v>8</v>
      </c>
      <c r="D305" t="s">
        <v>17</v>
      </c>
      <c r="E305" t="s">
        <v>670</v>
      </c>
      <c r="F305" s="6">
        <v>33.04</v>
      </c>
      <c r="G305" s="6"/>
      <c r="H305" s="1">
        <v>46274</v>
      </c>
      <c r="J305" t="s">
        <v>609</v>
      </c>
    </row>
    <row r="306" spans="1:10" x14ac:dyDescent="0.25">
      <c r="A306" t="s">
        <v>204</v>
      </c>
      <c r="B306" s="1">
        <v>46176</v>
      </c>
      <c r="C306" t="s">
        <v>8</v>
      </c>
      <c r="D306" t="s">
        <v>237</v>
      </c>
      <c r="E306" t="s">
        <v>238</v>
      </c>
      <c r="F306" s="6">
        <v>89</v>
      </c>
      <c r="G306" s="6"/>
      <c r="H306" s="1">
        <v>46218</v>
      </c>
      <c r="J306" t="s">
        <v>239</v>
      </c>
    </row>
    <row r="307" spans="1:10" x14ac:dyDescent="0.25">
      <c r="A307" t="s">
        <v>215</v>
      </c>
      <c r="B307" s="1">
        <v>46205</v>
      </c>
      <c r="C307" t="s">
        <v>8</v>
      </c>
      <c r="D307" t="s">
        <v>237</v>
      </c>
      <c r="E307" t="s">
        <v>271</v>
      </c>
      <c r="F307" s="6">
        <v>45</v>
      </c>
      <c r="G307" s="6"/>
      <c r="H307" s="1">
        <v>46220</v>
      </c>
      <c r="J307" t="s">
        <v>272</v>
      </c>
    </row>
    <row r="308" spans="1:10" x14ac:dyDescent="0.25">
      <c r="A308" t="s">
        <v>212</v>
      </c>
      <c r="B308" s="1">
        <v>46183</v>
      </c>
      <c r="C308" t="s">
        <v>8</v>
      </c>
      <c r="D308" t="s">
        <v>237</v>
      </c>
      <c r="E308" t="s">
        <v>297</v>
      </c>
      <c r="F308" s="6">
        <v>103</v>
      </c>
      <c r="G308" s="6"/>
      <c r="H308" s="1">
        <v>46225</v>
      </c>
      <c r="J308" t="s">
        <v>298</v>
      </c>
    </row>
    <row r="309" spans="1:10" x14ac:dyDescent="0.25">
      <c r="A309" t="s">
        <v>159</v>
      </c>
      <c r="B309" s="1">
        <v>46178</v>
      </c>
      <c r="C309" t="s">
        <v>8</v>
      </c>
      <c r="D309" t="s">
        <v>237</v>
      </c>
      <c r="E309" t="s">
        <v>327</v>
      </c>
      <c r="F309" s="6">
        <v>43</v>
      </c>
      <c r="G309" s="6"/>
      <c r="H309" s="1">
        <v>46227</v>
      </c>
      <c r="J309" t="s">
        <v>328</v>
      </c>
    </row>
    <row r="310" spans="1:10" x14ac:dyDescent="0.25">
      <c r="A310" t="s">
        <v>233</v>
      </c>
      <c r="B310" s="1">
        <v>46233</v>
      </c>
      <c r="C310" t="s">
        <v>8</v>
      </c>
      <c r="D310" t="s">
        <v>237</v>
      </c>
      <c r="E310" t="s">
        <v>329</v>
      </c>
      <c r="F310" s="6">
        <v>40</v>
      </c>
      <c r="G310" s="6"/>
      <c r="H310" s="1">
        <v>46227</v>
      </c>
      <c r="J310" t="s">
        <v>330</v>
      </c>
    </row>
    <row r="311" spans="1:10" x14ac:dyDescent="0.25">
      <c r="A311" t="s">
        <v>290</v>
      </c>
      <c r="B311" s="1">
        <v>46181</v>
      </c>
      <c r="C311" t="s">
        <v>8</v>
      </c>
      <c r="D311" t="s">
        <v>237</v>
      </c>
      <c r="E311" t="s">
        <v>359</v>
      </c>
      <c r="F311" s="6">
        <v>69</v>
      </c>
      <c r="G311" s="6"/>
      <c r="H311" s="1">
        <v>46232</v>
      </c>
      <c r="J311" t="s">
        <v>360</v>
      </c>
    </row>
    <row r="312" spans="1:10" x14ac:dyDescent="0.25">
      <c r="A312" t="s">
        <v>309</v>
      </c>
      <c r="B312" s="1">
        <v>46218</v>
      </c>
      <c r="C312" t="s">
        <v>8</v>
      </c>
      <c r="D312" t="s">
        <v>237</v>
      </c>
      <c r="E312" t="s">
        <v>401</v>
      </c>
      <c r="F312" s="6">
        <v>40</v>
      </c>
      <c r="G312" s="6"/>
      <c r="H312" s="1">
        <v>46234</v>
      </c>
      <c r="J312" t="s">
        <v>402</v>
      </c>
    </row>
    <row r="313" spans="1:10" x14ac:dyDescent="0.25">
      <c r="A313" t="s">
        <v>462</v>
      </c>
      <c r="B313" s="1">
        <v>46203</v>
      </c>
      <c r="C313" t="s">
        <v>8</v>
      </c>
      <c r="D313" t="s">
        <v>237</v>
      </c>
      <c r="E313" t="s">
        <v>463</v>
      </c>
      <c r="F313" s="6">
        <v>16</v>
      </c>
      <c r="G313" s="6"/>
      <c r="H313" s="1">
        <v>46239</v>
      </c>
      <c r="J313" t="s">
        <v>464</v>
      </c>
    </row>
    <row r="314" spans="1:10" x14ac:dyDescent="0.25">
      <c r="A314" t="s">
        <v>180</v>
      </c>
      <c r="B314" s="1">
        <v>46224</v>
      </c>
      <c r="C314" t="s">
        <v>8</v>
      </c>
      <c r="D314" t="s">
        <v>237</v>
      </c>
      <c r="E314" t="s">
        <v>512</v>
      </c>
      <c r="F314" s="6">
        <v>50</v>
      </c>
      <c r="G314" s="6"/>
      <c r="H314" s="1">
        <v>46241</v>
      </c>
      <c r="J314" t="s">
        <v>513</v>
      </c>
    </row>
    <row r="315" spans="1:10" x14ac:dyDescent="0.25">
      <c r="A315" t="s">
        <v>180</v>
      </c>
      <c r="B315" s="1">
        <v>46241</v>
      </c>
      <c r="C315" t="s">
        <v>8</v>
      </c>
      <c r="D315" t="s">
        <v>237</v>
      </c>
      <c r="E315" t="s">
        <v>514</v>
      </c>
      <c r="F315" s="6">
        <v>25</v>
      </c>
      <c r="G315" s="6"/>
      <c r="H315" s="1">
        <v>46241</v>
      </c>
      <c r="J315" t="s">
        <v>515</v>
      </c>
    </row>
    <row r="316" spans="1:10" x14ac:dyDescent="0.25">
      <c r="A316" t="s">
        <v>287</v>
      </c>
      <c r="B316" s="1">
        <v>46237</v>
      </c>
      <c r="C316" t="s">
        <v>8</v>
      </c>
      <c r="D316" t="s">
        <v>237</v>
      </c>
      <c r="E316" t="s">
        <v>546</v>
      </c>
      <c r="F316" s="6">
        <v>20</v>
      </c>
      <c r="G316" s="6"/>
      <c r="H316" s="1">
        <v>46248</v>
      </c>
      <c r="J316" t="s">
        <v>547</v>
      </c>
    </row>
    <row r="317" spans="1:10" x14ac:dyDescent="0.25">
      <c r="A317" t="s">
        <v>287</v>
      </c>
      <c r="B317" s="1">
        <v>46237</v>
      </c>
      <c r="C317" t="s">
        <v>8</v>
      </c>
      <c r="D317" t="s">
        <v>237</v>
      </c>
      <c r="E317" t="s">
        <v>592</v>
      </c>
      <c r="F317" s="6">
        <v>20</v>
      </c>
      <c r="G317" s="6"/>
      <c r="H317" s="1">
        <v>46255</v>
      </c>
      <c r="J317" t="s">
        <v>593</v>
      </c>
    </row>
    <row r="318" spans="1:10" x14ac:dyDescent="0.25">
      <c r="A318" t="s">
        <v>446</v>
      </c>
      <c r="B318" s="1">
        <v>46238</v>
      </c>
      <c r="C318" t="s">
        <v>8</v>
      </c>
      <c r="D318" t="s">
        <v>237</v>
      </c>
      <c r="E318" t="s">
        <v>594</v>
      </c>
      <c r="F318" s="6">
        <v>78</v>
      </c>
      <c r="G318" s="6"/>
      <c r="H318" s="1">
        <v>46255</v>
      </c>
      <c r="J318" t="s">
        <v>595</v>
      </c>
    </row>
    <row r="319" spans="1:10" x14ac:dyDescent="0.25">
      <c r="A319" t="s">
        <v>467</v>
      </c>
      <c r="B319" s="1">
        <v>46241</v>
      </c>
      <c r="C319" t="s">
        <v>8</v>
      </c>
      <c r="D319" t="s">
        <v>237</v>
      </c>
      <c r="E319" t="s">
        <v>671</v>
      </c>
      <c r="F319" s="6">
        <v>16</v>
      </c>
      <c r="G319" s="6"/>
      <c r="H319" s="1">
        <v>46274</v>
      </c>
      <c r="J319" t="s">
        <v>672</v>
      </c>
    </row>
    <row r="320" spans="1:10" x14ac:dyDescent="0.25">
      <c r="A320" t="s">
        <v>467</v>
      </c>
      <c r="B320" s="1">
        <v>46241</v>
      </c>
      <c r="C320" t="s">
        <v>8</v>
      </c>
      <c r="D320" t="s">
        <v>237</v>
      </c>
      <c r="E320" t="s">
        <v>673</v>
      </c>
      <c r="F320" s="6">
        <v>20</v>
      </c>
      <c r="G320" s="6"/>
      <c r="H320" s="1">
        <v>46274</v>
      </c>
      <c r="J320" t="s">
        <v>674</v>
      </c>
    </row>
    <row r="321" spans="1:10" x14ac:dyDescent="0.25">
      <c r="A321" t="s">
        <v>366</v>
      </c>
      <c r="B321" s="1">
        <v>46244</v>
      </c>
      <c r="C321" t="s">
        <v>8</v>
      </c>
      <c r="D321" t="s">
        <v>675</v>
      </c>
      <c r="E321" t="s">
        <v>709</v>
      </c>
      <c r="F321" s="6">
        <v>6</v>
      </c>
      <c r="G321" s="6"/>
      <c r="H321" s="1">
        <v>46246</v>
      </c>
      <c r="J321" t="s">
        <v>710</v>
      </c>
    </row>
    <row r="322" spans="1:10" x14ac:dyDescent="0.25">
      <c r="A322" t="s">
        <v>467</v>
      </c>
      <c r="B322" s="1">
        <v>46241</v>
      </c>
      <c r="C322" t="s">
        <v>8</v>
      </c>
      <c r="D322" t="s">
        <v>675</v>
      </c>
      <c r="E322" t="s">
        <v>676</v>
      </c>
      <c r="F322" s="6">
        <v>4</v>
      </c>
      <c r="G322" s="6"/>
      <c r="H322" s="1">
        <v>46274</v>
      </c>
      <c r="J322" t="s">
        <v>677</v>
      </c>
    </row>
    <row r="323" spans="1:10" x14ac:dyDescent="0.25">
      <c r="A323" t="s">
        <v>467</v>
      </c>
      <c r="B323" s="1">
        <v>46241</v>
      </c>
      <c r="C323" t="s">
        <v>8</v>
      </c>
      <c r="D323" t="s">
        <v>675</v>
      </c>
      <c r="E323" t="s">
        <v>678</v>
      </c>
      <c r="F323" s="6">
        <v>24</v>
      </c>
      <c r="G323" s="6"/>
      <c r="H323" s="1">
        <v>46274</v>
      </c>
      <c r="J323" t="s">
        <v>679</v>
      </c>
    </row>
    <row r="324" spans="1:10" x14ac:dyDescent="0.25">
      <c r="A324" t="s">
        <v>467</v>
      </c>
      <c r="B324" s="1">
        <v>46241</v>
      </c>
      <c r="C324" t="s">
        <v>8</v>
      </c>
      <c r="D324" t="s">
        <v>675</v>
      </c>
      <c r="E324" t="s">
        <v>689</v>
      </c>
      <c r="F324" s="6">
        <v>4</v>
      </c>
      <c r="G324" s="6"/>
      <c r="H324" s="1">
        <v>46281</v>
      </c>
      <c r="J324" t="s">
        <v>690</v>
      </c>
    </row>
    <row r="325" spans="1:10" x14ac:dyDescent="0.25">
      <c r="A325" t="s">
        <v>204</v>
      </c>
      <c r="B325" s="1">
        <v>46183</v>
      </c>
      <c r="C325" t="s">
        <v>8</v>
      </c>
      <c r="D325" t="s">
        <v>228</v>
      </c>
      <c r="E325" t="s">
        <v>229</v>
      </c>
      <c r="F325" s="6">
        <v>150</v>
      </c>
      <c r="G325" s="6"/>
      <c r="H325" s="1">
        <v>46214</v>
      </c>
      <c r="I325" t="s">
        <v>697</v>
      </c>
      <c r="J325" t="s">
        <v>230</v>
      </c>
    </row>
    <row r="326" spans="1:10" x14ac:dyDescent="0.25">
      <c r="A326" t="s">
        <v>204</v>
      </c>
      <c r="B326" s="1">
        <v>46245</v>
      </c>
      <c r="C326" t="s">
        <v>8</v>
      </c>
      <c r="D326" t="s">
        <v>228</v>
      </c>
      <c r="E326" t="s">
        <v>785</v>
      </c>
      <c r="F326" s="6">
        <v>135</v>
      </c>
      <c r="G326" s="6"/>
      <c r="H326" s="1">
        <v>46214</v>
      </c>
      <c r="J326" t="s">
        <v>786</v>
      </c>
    </row>
    <row r="327" spans="1:10" x14ac:dyDescent="0.25">
      <c r="A327" t="s">
        <v>159</v>
      </c>
      <c r="B327" s="1">
        <v>46178</v>
      </c>
      <c r="C327" t="s">
        <v>8</v>
      </c>
      <c r="D327" t="s">
        <v>228</v>
      </c>
      <c r="E327" t="s">
        <v>331</v>
      </c>
      <c r="F327" s="6">
        <v>60</v>
      </c>
      <c r="G327" s="6"/>
      <c r="H327" s="1">
        <v>46227</v>
      </c>
      <c r="I327" t="s">
        <v>697</v>
      </c>
      <c r="J327" t="s">
        <v>332</v>
      </c>
    </row>
    <row r="328" spans="1:10" x14ac:dyDescent="0.25">
      <c r="A328" t="s">
        <v>212</v>
      </c>
      <c r="B328" s="1">
        <v>46178</v>
      </c>
      <c r="C328" t="s">
        <v>8</v>
      </c>
      <c r="D328" t="s">
        <v>228</v>
      </c>
      <c r="E328" t="s">
        <v>333</v>
      </c>
      <c r="F328" s="6">
        <v>60</v>
      </c>
      <c r="G328" s="6"/>
      <c r="H328" s="1">
        <v>46227</v>
      </c>
      <c r="I328" t="s">
        <v>697</v>
      </c>
      <c r="J328" t="s">
        <v>334</v>
      </c>
    </row>
    <row r="329" spans="1:10" x14ac:dyDescent="0.25">
      <c r="A329" t="s">
        <v>180</v>
      </c>
      <c r="B329" s="1">
        <v>46241</v>
      </c>
      <c r="C329" t="s">
        <v>8</v>
      </c>
      <c r="D329" t="s">
        <v>228</v>
      </c>
      <c r="E329" t="s">
        <v>516</v>
      </c>
      <c r="F329" s="6">
        <v>130</v>
      </c>
      <c r="G329" s="6"/>
      <c r="H329" s="1">
        <v>46241</v>
      </c>
      <c r="I329" t="s">
        <v>738</v>
      </c>
      <c r="J329" t="s">
        <v>517</v>
      </c>
    </row>
    <row r="330" spans="1:10" x14ac:dyDescent="0.25">
      <c r="A330" t="s">
        <v>233</v>
      </c>
      <c r="B330" s="1">
        <v>46245</v>
      </c>
      <c r="C330" t="s">
        <v>8</v>
      </c>
      <c r="D330" t="s">
        <v>228</v>
      </c>
      <c r="E330" t="s">
        <v>787</v>
      </c>
      <c r="F330" s="6">
        <v>75</v>
      </c>
      <c r="G330" s="6"/>
      <c r="H330" s="1">
        <v>46245</v>
      </c>
      <c r="J330" t="s">
        <v>788</v>
      </c>
    </row>
    <row r="331" spans="1:10" x14ac:dyDescent="0.25">
      <c r="A331" t="s">
        <v>446</v>
      </c>
      <c r="B331" s="1">
        <v>46238</v>
      </c>
      <c r="C331" t="s">
        <v>8</v>
      </c>
      <c r="D331" t="s">
        <v>228</v>
      </c>
      <c r="E331" t="s">
        <v>596</v>
      </c>
      <c r="F331" s="6">
        <v>90</v>
      </c>
      <c r="G331" s="6"/>
      <c r="H331" s="1">
        <v>46255</v>
      </c>
      <c r="J331" t="s">
        <v>597</v>
      </c>
    </row>
    <row r="332" spans="1:10" x14ac:dyDescent="0.25">
      <c r="A332" t="s">
        <v>348</v>
      </c>
      <c r="B332" s="1">
        <v>46113</v>
      </c>
      <c r="C332" t="s">
        <v>8</v>
      </c>
      <c r="D332" t="s">
        <v>625</v>
      </c>
      <c r="E332" t="s">
        <v>626</v>
      </c>
      <c r="F332" s="6">
        <v>954</v>
      </c>
      <c r="G332" s="6"/>
      <c r="H332" s="1">
        <v>46269</v>
      </c>
      <c r="J332" t="s">
        <v>627</v>
      </c>
    </row>
    <row r="333" spans="1:10" x14ac:dyDescent="0.25">
      <c r="A333" t="s">
        <v>111</v>
      </c>
      <c r="B333" s="1">
        <v>46169</v>
      </c>
      <c r="C333" t="s">
        <v>8</v>
      </c>
      <c r="D333" t="s">
        <v>143</v>
      </c>
      <c r="E333" t="s">
        <v>144</v>
      </c>
      <c r="F333" s="6">
        <v>502.68</v>
      </c>
      <c r="G333" s="6"/>
      <c r="H333" s="1">
        <v>46185</v>
      </c>
      <c r="I333" t="s">
        <v>732</v>
      </c>
      <c r="J333" t="s">
        <v>145</v>
      </c>
    </row>
    <row r="334" spans="1:10" x14ac:dyDescent="0.25">
      <c r="A334" t="s">
        <v>111</v>
      </c>
      <c r="B334" s="1">
        <v>46169</v>
      </c>
      <c r="C334" t="s">
        <v>8</v>
      </c>
      <c r="D334" t="s">
        <v>143</v>
      </c>
      <c r="E334" t="s">
        <v>146</v>
      </c>
      <c r="F334" s="6">
        <v>1508.04</v>
      </c>
      <c r="G334" s="6"/>
      <c r="H334" s="1">
        <v>46185</v>
      </c>
      <c r="I334" t="s">
        <v>732</v>
      </c>
      <c r="J334" t="s">
        <v>145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0394-F1B0-4422-81A5-0AE5D872569D}">
  <dimension ref="A1:J348"/>
  <sheetViews>
    <sheetView showGridLines="0" topLeftCell="A329" workbookViewId="0">
      <selection activeCell="I137" sqref="I137"/>
    </sheetView>
  </sheetViews>
  <sheetFormatPr baseColWidth="10" defaultRowHeight="15" x14ac:dyDescent="0.25"/>
  <cols>
    <col min="2" max="2" width="15.7109375" customWidth="1"/>
    <col min="4" max="4" width="26.5703125" customWidth="1"/>
    <col min="8" max="8" width="12.42578125" customWidth="1"/>
    <col min="9" max="9" width="27" customWidth="1"/>
    <col min="10" max="10" width="59.28515625" customWidth="1"/>
  </cols>
  <sheetData>
    <row r="1" spans="1:10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11</v>
      </c>
      <c r="G1" t="s">
        <v>739</v>
      </c>
      <c r="H1" t="s">
        <v>4</v>
      </c>
      <c r="I1" t="s">
        <v>403</v>
      </c>
      <c r="J1" t="s">
        <v>5</v>
      </c>
    </row>
    <row r="2" spans="1:10" x14ac:dyDescent="0.25">
      <c r="A2" t="s">
        <v>7</v>
      </c>
      <c r="B2" s="1">
        <v>46029</v>
      </c>
      <c r="C2" t="s">
        <v>8</v>
      </c>
      <c r="D2" t="s">
        <v>9</v>
      </c>
      <c r="E2" t="s">
        <v>10</v>
      </c>
      <c r="F2" s="12">
        <v>140</v>
      </c>
      <c r="G2" s="12"/>
      <c r="H2" s="1">
        <v>46072</v>
      </c>
      <c r="J2" t="s">
        <v>12</v>
      </c>
    </row>
    <row r="3" spans="1:10" x14ac:dyDescent="0.25">
      <c r="A3" t="s">
        <v>13</v>
      </c>
      <c r="B3" s="1">
        <v>46080</v>
      </c>
      <c r="C3" t="s">
        <v>8</v>
      </c>
      <c r="D3" t="s">
        <v>9</v>
      </c>
      <c r="E3" t="s">
        <v>14</v>
      </c>
      <c r="F3" s="12"/>
      <c r="G3" s="12">
        <v>75</v>
      </c>
      <c r="H3" s="1">
        <v>46083</v>
      </c>
      <c r="J3" t="s">
        <v>15</v>
      </c>
    </row>
    <row r="4" spans="1:10" x14ac:dyDescent="0.25">
      <c r="A4" s="18" t="s">
        <v>121</v>
      </c>
      <c r="B4" s="19">
        <v>46175</v>
      </c>
      <c r="C4" s="18" t="s">
        <v>8</v>
      </c>
      <c r="D4" s="18" t="s">
        <v>156</v>
      </c>
      <c r="E4" s="18" t="s">
        <v>157</v>
      </c>
      <c r="F4" s="20">
        <v>210</v>
      </c>
      <c r="G4" s="20"/>
      <c r="H4" s="19">
        <v>46192</v>
      </c>
      <c r="I4" s="18" t="s">
        <v>824</v>
      </c>
      <c r="J4" s="18" t="s">
        <v>158</v>
      </c>
    </row>
    <row r="5" spans="1:10" x14ac:dyDescent="0.25">
      <c r="A5" t="s">
        <v>22</v>
      </c>
      <c r="B5" s="1">
        <v>46141</v>
      </c>
      <c r="C5" t="s">
        <v>8</v>
      </c>
      <c r="D5" t="s">
        <v>9</v>
      </c>
      <c r="E5" t="s">
        <v>23</v>
      </c>
      <c r="F5" s="12">
        <v>34</v>
      </c>
      <c r="G5" s="12"/>
      <c r="H5" s="1">
        <v>46142</v>
      </c>
      <c r="J5" t="s">
        <v>24</v>
      </c>
    </row>
    <row r="6" spans="1:10" x14ac:dyDescent="0.25">
      <c r="A6" t="s">
        <v>22</v>
      </c>
      <c r="B6" s="1">
        <v>46142</v>
      </c>
      <c r="C6" t="s">
        <v>8</v>
      </c>
      <c r="D6" t="s">
        <v>9</v>
      </c>
      <c r="E6" t="s">
        <v>25</v>
      </c>
      <c r="F6" s="12">
        <v>10</v>
      </c>
      <c r="G6" s="12"/>
      <c r="H6" s="1">
        <v>46144</v>
      </c>
      <c r="J6" t="s">
        <v>26</v>
      </c>
    </row>
    <row r="7" spans="1:10" x14ac:dyDescent="0.25">
      <c r="A7" t="s">
        <v>27</v>
      </c>
      <c r="B7" s="1">
        <v>46108</v>
      </c>
      <c r="C7" t="s">
        <v>8</v>
      </c>
      <c r="D7" t="s">
        <v>28</v>
      </c>
      <c r="E7" t="s">
        <v>29</v>
      </c>
      <c r="F7" s="12">
        <v>306</v>
      </c>
      <c r="G7" s="12"/>
      <c r="H7" s="1">
        <v>46150</v>
      </c>
      <c r="I7" t="s">
        <v>404</v>
      </c>
      <c r="J7" t="s">
        <v>30</v>
      </c>
    </row>
    <row r="8" spans="1:10" x14ac:dyDescent="0.25">
      <c r="A8" s="18" t="s">
        <v>38</v>
      </c>
      <c r="B8" s="3">
        <v>46045</v>
      </c>
      <c r="C8" s="18" t="s">
        <v>8</v>
      </c>
      <c r="D8" s="18" t="s">
        <v>39</v>
      </c>
      <c r="E8" s="18" t="s">
        <v>40</v>
      </c>
      <c r="F8" s="20">
        <v>211.52</v>
      </c>
      <c r="G8" s="20"/>
      <c r="H8" s="19">
        <v>46151</v>
      </c>
      <c r="I8" s="18" t="s">
        <v>885</v>
      </c>
      <c r="J8" s="18" t="s">
        <v>41</v>
      </c>
    </row>
    <row r="9" spans="1:10" x14ac:dyDescent="0.25">
      <c r="A9" t="s">
        <v>35</v>
      </c>
      <c r="B9" s="1">
        <v>46048</v>
      </c>
      <c r="C9" t="s">
        <v>8</v>
      </c>
      <c r="D9" t="s">
        <v>9</v>
      </c>
      <c r="E9" t="s">
        <v>36</v>
      </c>
      <c r="F9" s="12">
        <v>105</v>
      </c>
      <c r="G9" s="12"/>
      <c r="H9" s="1">
        <v>46150</v>
      </c>
      <c r="J9" t="s">
        <v>37</v>
      </c>
    </row>
    <row r="10" spans="1:10" x14ac:dyDescent="0.25">
      <c r="A10" s="18" t="s">
        <v>42</v>
      </c>
      <c r="B10" s="3">
        <v>46119</v>
      </c>
      <c r="C10" s="18" t="s">
        <v>8</v>
      </c>
      <c r="D10" s="18" t="s">
        <v>39</v>
      </c>
      <c r="E10" s="18" t="s">
        <v>59</v>
      </c>
      <c r="F10" s="20">
        <v>288.66000000000003</v>
      </c>
      <c r="G10" s="20"/>
      <c r="H10" s="19">
        <v>46164</v>
      </c>
      <c r="I10" s="18" t="s">
        <v>884</v>
      </c>
      <c r="J10" s="18" t="s">
        <v>60</v>
      </c>
    </row>
    <row r="11" spans="1:10" x14ac:dyDescent="0.25">
      <c r="A11" s="4" t="s">
        <v>42</v>
      </c>
      <c r="B11" s="5">
        <v>46113</v>
      </c>
      <c r="C11" s="4" t="s">
        <v>43</v>
      </c>
      <c r="D11" s="4" t="s">
        <v>44</v>
      </c>
      <c r="E11" s="4" t="s">
        <v>45</v>
      </c>
      <c r="F11" s="13">
        <v>65</v>
      </c>
      <c r="G11" s="13"/>
      <c r="H11" s="5">
        <v>46155</v>
      </c>
      <c r="I11" s="4" t="s">
        <v>697</v>
      </c>
      <c r="J11" s="4" t="s">
        <v>46</v>
      </c>
    </row>
    <row r="12" spans="1:10" x14ac:dyDescent="0.25">
      <c r="A12" t="s">
        <v>38</v>
      </c>
      <c r="B12" s="1">
        <v>46111</v>
      </c>
      <c r="C12" t="s">
        <v>8</v>
      </c>
      <c r="D12" t="s">
        <v>44</v>
      </c>
      <c r="E12" t="s">
        <v>47</v>
      </c>
      <c r="F12" s="12">
        <v>130</v>
      </c>
      <c r="G12" s="12"/>
      <c r="H12" s="1">
        <v>46157</v>
      </c>
      <c r="I12" t="s">
        <v>404</v>
      </c>
      <c r="J12" t="s">
        <v>48</v>
      </c>
    </row>
    <row r="13" spans="1:10" x14ac:dyDescent="0.25">
      <c r="A13" s="18" t="s">
        <v>56</v>
      </c>
      <c r="B13" s="3">
        <v>46168</v>
      </c>
      <c r="C13" s="18" t="s">
        <v>8</v>
      </c>
      <c r="D13" s="18" t="s">
        <v>39</v>
      </c>
      <c r="E13" s="18" t="s">
        <v>75</v>
      </c>
      <c r="F13" s="20">
        <v>182.3</v>
      </c>
      <c r="G13" s="20"/>
      <c r="H13" s="19">
        <v>46169</v>
      </c>
      <c r="I13" s="18" t="s">
        <v>887</v>
      </c>
      <c r="J13" s="18" t="s">
        <v>76</v>
      </c>
    </row>
    <row r="14" spans="1:10" x14ac:dyDescent="0.25">
      <c r="A14" t="s">
        <v>52</v>
      </c>
      <c r="B14" s="1">
        <v>46144</v>
      </c>
      <c r="C14" t="s">
        <v>8</v>
      </c>
      <c r="D14" t="s">
        <v>9</v>
      </c>
      <c r="E14" t="s">
        <v>53</v>
      </c>
      <c r="F14" s="12">
        <v>157.5</v>
      </c>
      <c r="G14" s="12"/>
      <c r="H14" s="1">
        <v>46160</v>
      </c>
      <c r="J14" t="s">
        <v>54</v>
      </c>
    </row>
    <row r="15" spans="1:10" x14ac:dyDescent="0.25">
      <c r="A15" t="s">
        <v>56</v>
      </c>
      <c r="B15" s="1">
        <v>46146</v>
      </c>
      <c r="C15" t="s">
        <v>8</v>
      </c>
      <c r="D15" t="s">
        <v>9</v>
      </c>
      <c r="E15" t="s">
        <v>57</v>
      </c>
      <c r="F15" s="12">
        <v>192.5</v>
      </c>
      <c r="G15" s="12"/>
      <c r="H15" s="1">
        <v>46162</v>
      </c>
      <c r="J15" t="s">
        <v>58</v>
      </c>
    </row>
    <row r="16" spans="1:10" x14ac:dyDescent="0.25">
      <c r="A16" s="18" t="s">
        <v>49</v>
      </c>
      <c r="B16" s="3">
        <v>46169</v>
      </c>
      <c r="C16" s="18" t="s">
        <v>8</v>
      </c>
      <c r="D16" s="18" t="s">
        <v>39</v>
      </c>
      <c r="E16" s="18" t="s">
        <v>77</v>
      </c>
      <c r="F16" s="20">
        <v>457</v>
      </c>
      <c r="G16" s="20"/>
      <c r="H16" s="19">
        <v>46171</v>
      </c>
      <c r="I16" s="18" t="s">
        <v>883</v>
      </c>
      <c r="J16" s="18" t="s">
        <v>78</v>
      </c>
    </row>
    <row r="17" spans="1:10" x14ac:dyDescent="0.25">
      <c r="A17" t="s">
        <v>38</v>
      </c>
      <c r="B17" s="1">
        <v>46045</v>
      </c>
      <c r="C17" t="s">
        <v>8</v>
      </c>
      <c r="D17" t="s">
        <v>9</v>
      </c>
      <c r="E17" t="s">
        <v>61</v>
      </c>
      <c r="F17" s="12">
        <v>210</v>
      </c>
      <c r="G17" s="12"/>
      <c r="H17" s="1">
        <v>46164</v>
      </c>
      <c r="J17" t="s">
        <v>62</v>
      </c>
    </row>
    <row r="18" spans="1:10" x14ac:dyDescent="0.25">
      <c r="A18" t="s">
        <v>42</v>
      </c>
      <c r="B18" s="1">
        <v>46113</v>
      </c>
      <c r="C18" t="s">
        <v>8</v>
      </c>
      <c r="D18" t="s">
        <v>9</v>
      </c>
      <c r="E18" t="s">
        <v>63</v>
      </c>
      <c r="F18" s="12">
        <v>157.5</v>
      </c>
      <c r="G18" s="12"/>
      <c r="H18" s="1">
        <v>46164</v>
      </c>
      <c r="J18" t="s">
        <v>64</v>
      </c>
    </row>
    <row r="19" spans="1:10" x14ac:dyDescent="0.25">
      <c r="A19" t="s">
        <v>65</v>
      </c>
      <c r="B19" s="1">
        <v>46162</v>
      </c>
      <c r="C19" t="s">
        <v>8</v>
      </c>
      <c r="D19" t="s">
        <v>9</v>
      </c>
      <c r="E19" t="s">
        <v>66</v>
      </c>
      <c r="F19" s="12">
        <v>192.5</v>
      </c>
      <c r="G19" s="12"/>
      <c r="H19" s="1">
        <v>46164</v>
      </c>
      <c r="J19" t="s">
        <v>67</v>
      </c>
    </row>
    <row r="20" spans="1:10" x14ac:dyDescent="0.25">
      <c r="A20" t="s">
        <v>52</v>
      </c>
      <c r="B20" s="1">
        <v>46167</v>
      </c>
      <c r="C20" t="s">
        <v>8</v>
      </c>
      <c r="D20" t="s">
        <v>9</v>
      </c>
      <c r="E20" t="s">
        <v>68</v>
      </c>
      <c r="F20" s="12"/>
      <c r="G20" s="12">
        <v>41.4</v>
      </c>
      <c r="H20" s="1">
        <v>46164</v>
      </c>
      <c r="J20" t="s">
        <v>69</v>
      </c>
    </row>
    <row r="21" spans="1:10" x14ac:dyDescent="0.25">
      <c r="A21" s="2" t="s">
        <v>94</v>
      </c>
      <c r="B21" s="3">
        <v>46147</v>
      </c>
      <c r="C21" s="2" t="s">
        <v>8</v>
      </c>
      <c r="D21" s="2" t="s">
        <v>39</v>
      </c>
      <c r="E21" s="2" t="s">
        <v>109</v>
      </c>
      <c r="F21" s="11">
        <v>451.16</v>
      </c>
      <c r="G21" s="11"/>
      <c r="H21" s="3">
        <v>46176</v>
      </c>
      <c r="I21" s="2" t="s">
        <v>886</v>
      </c>
      <c r="J21" s="2" t="s">
        <v>110</v>
      </c>
    </row>
    <row r="22" spans="1:10" x14ac:dyDescent="0.25">
      <c r="A22" t="s">
        <v>49</v>
      </c>
      <c r="B22" s="1">
        <v>46153</v>
      </c>
      <c r="C22" t="s">
        <v>8</v>
      </c>
      <c r="D22" t="s">
        <v>9</v>
      </c>
      <c r="E22" t="s">
        <v>73</v>
      </c>
      <c r="F22" s="12">
        <v>122.5</v>
      </c>
      <c r="G22" s="12"/>
      <c r="H22" s="1">
        <v>46167</v>
      </c>
      <c r="J22" t="s">
        <v>74</v>
      </c>
    </row>
    <row r="23" spans="1:10" x14ac:dyDescent="0.25">
      <c r="A23" s="2" t="s">
        <v>49</v>
      </c>
      <c r="B23" s="3">
        <v>46175</v>
      </c>
      <c r="C23" s="2" t="s">
        <v>8</v>
      </c>
      <c r="D23" s="2" t="s">
        <v>39</v>
      </c>
      <c r="E23" s="2" t="s">
        <v>113</v>
      </c>
      <c r="F23" s="11">
        <v>211.52</v>
      </c>
      <c r="G23" s="11"/>
      <c r="H23" s="3">
        <v>46178</v>
      </c>
      <c r="I23" s="2" t="s">
        <v>883</v>
      </c>
      <c r="J23" s="2" t="s">
        <v>114</v>
      </c>
    </row>
    <row r="24" spans="1:10" x14ac:dyDescent="0.25">
      <c r="A24" s="2" t="s">
        <v>106</v>
      </c>
      <c r="B24" s="3">
        <v>46155</v>
      </c>
      <c r="C24" s="2" t="s">
        <v>8</v>
      </c>
      <c r="D24" s="2" t="s">
        <v>39</v>
      </c>
      <c r="E24" s="2" t="s">
        <v>128</v>
      </c>
      <c r="F24" s="11">
        <v>281.2</v>
      </c>
      <c r="G24" s="11"/>
      <c r="H24" s="3">
        <v>46185</v>
      </c>
      <c r="I24" s="2" t="s">
        <v>888</v>
      </c>
      <c r="J24" s="2" t="s">
        <v>129</v>
      </c>
    </row>
    <row r="25" spans="1:10" x14ac:dyDescent="0.25">
      <c r="A25" t="s">
        <v>70</v>
      </c>
      <c r="B25" s="1">
        <v>46141</v>
      </c>
      <c r="C25" t="s">
        <v>8</v>
      </c>
      <c r="D25" t="s">
        <v>9</v>
      </c>
      <c r="E25" t="s">
        <v>79</v>
      </c>
      <c r="F25" s="12">
        <v>157.5</v>
      </c>
      <c r="G25" s="12"/>
      <c r="H25" s="1">
        <v>46171</v>
      </c>
      <c r="J25" t="s">
        <v>80</v>
      </c>
    </row>
    <row r="26" spans="1:10" x14ac:dyDescent="0.25">
      <c r="A26" t="s">
        <v>65</v>
      </c>
      <c r="B26" s="1">
        <v>46167</v>
      </c>
      <c r="C26" t="s">
        <v>8</v>
      </c>
      <c r="D26" t="s">
        <v>9</v>
      </c>
      <c r="E26" t="s">
        <v>81</v>
      </c>
      <c r="F26" s="12"/>
      <c r="G26" s="12">
        <v>33.6</v>
      </c>
      <c r="H26" s="1">
        <v>46171</v>
      </c>
      <c r="J26" t="s">
        <v>82</v>
      </c>
    </row>
    <row r="27" spans="1:10" x14ac:dyDescent="0.25">
      <c r="A27" t="s">
        <v>22</v>
      </c>
      <c r="B27" s="1">
        <v>46167</v>
      </c>
      <c r="C27" t="s">
        <v>8</v>
      </c>
      <c r="D27" t="s">
        <v>9</v>
      </c>
      <c r="E27" t="s">
        <v>83</v>
      </c>
      <c r="F27" s="12">
        <v>35</v>
      </c>
      <c r="G27" s="12"/>
      <c r="H27" s="1">
        <v>46171</v>
      </c>
      <c r="J27" t="s">
        <v>84</v>
      </c>
    </row>
    <row r="28" spans="1:10" x14ac:dyDescent="0.25">
      <c r="A28" t="s">
        <v>22</v>
      </c>
      <c r="B28" s="1">
        <v>46167</v>
      </c>
      <c r="C28" t="s">
        <v>8</v>
      </c>
      <c r="D28" t="s">
        <v>9</v>
      </c>
      <c r="E28" t="s">
        <v>85</v>
      </c>
      <c r="F28" s="12">
        <v>70</v>
      </c>
      <c r="G28" s="12"/>
      <c r="H28" s="1">
        <v>46171</v>
      </c>
      <c r="J28" t="s">
        <v>86</v>
      </c>
    </row>
    <row r="29" spans="1:10" x14ac:dyDescent="0.25">
      <c r="A29" s="2" t="s">
        <v>159</v>
      </c>
      <c r="B29" s="3">
        <v>46178</v>
      </c>
      <c r="C29" s="2" t="s">
        <v>8</v>
      </c>
      <c r="D29" s="2" t="s">
        <v>39</v>
      </c>
      <c r="E29" s="2" t="s">
        <v>382</v>
      </c>
      <c r="F29" s="11">
        <v>363.64</v>
      </c>
      <c r="G29" s="11"/>
      <c r="H29" s="3">
        <v>46234</v>
      </c>
      <c r="I29" s="2" t="s">
        <v>889</v>
      </c>
      <c r="J29" s="2" t="s">
        <v>383</v>
      </c>
    </row>
    <row r="30" spans="1:10" x14ac:dyDescent="0.25">
      <c r="A30" s="2" t="s">
        <v>204</v>
      </c>
      <c r="B30" s="3">
        <v>46246</v>
      </c>
      <c r="C30" s="2" t="s">
        <v>8</v>
      </c>
      <c r="D30" s="2" t="s">
        <v>39</v>
      </c>
      <c r="E30" s="2" t="s">
        <v>746</v>
      </c>
      <c r="F30" s="11">
        <v>171.3</v>
      </c>
      <c r="G30" s="11"/>
      <c r="H30" s="3">
        <v>46246</v>
      </c>
      <c r="I30" s="2" t="s">
        <v>832</v>
      </c>
      <c r="J30" s="2" t="s">
        <v>747</v>
      </c>
    </row>
    <row r="31" spans="1:10" x14ac:dyDescent="0.25">
      <c r="A31" s="18" t="s">
        <v>159</v>
      </c>
      <c r="B31" s="3">
        <v>46104</v>
      </c>
      <c r="C31" s="18" t="s">
        <v>8</v>
      </c>
      <c r="D31" s="18" t="s">
        <v>793</v>
      </c>
      <c r="E31" s="18" t="s">
        <v>161</v>
      </c>
      <c r="F31" s="20">
        <v>1955.14</v>
      </c>
      <c r="G31" s="20"/>
      <c r="H31" s="19">
        <v>46192</v>
      </c>
      <c r="I31" s="18" t="s">
        <v>838</v>
      </c>
      <c r="J31" s="18" t="s">
        <v>162</v>
      </c>
    </row>
    <row r="32" spans="1:10" x14ac:dyDescent="0.25">
      <c r="A32" s="18" t="s">
        <v>121</v>
      </c>
      <c r="B32" s="3">
        <v>46169</v>
      </c>
      <c r="C32" s="18" t="s">
        <v>8</v>
      </c>
      <c r="D32" s="18" t="s">
        <v>793</v>
      </c>
      <c r="E32" s="18" t="s">
        <v>248</v>
      </c>
      <c r="F32" s="20">
        <v>421.4</v>
      </c>
      <c r="G32" s="20"/>
      <c r="H32" s="19">
        <v>46220</v>
      </c>
      <c r="I32" s="18" t="s">
        <v>836</v>
      </c>
      <c r="J32" s="18" t="s">
        <v>249</v>
      </c>
    </row>
    <row r="33" spans="1:10" x14ac:dyDescent="0.25">
      <c r="A33" s="18" t="s">
        <v>159</v>
      </c>
      <c r="B33" s="3">
        <v>46178</v>
      </c>
      <c r="C33" s="18" t="s">
        <v>8</v>
      </c>
      <c r="D33" s="18" t="s">
        <v>793</v>
      </c>
      <c r="E33" s="18" t="s">
        <v>299</v>
      </c>
      <c r="F33" s="20">
        <v>522.03</v>
      </c>
      <c r="G33" s="20"/>
      <c r="H33" s="19">
        <v>46226</v>
      </c>
      <c r="I33" s="18" t="s">
        <v>839</v>
      </c>
      <c r="J33" s="18" t="s">
        <v>300</v>
      </c>
    </row>
    <row r="34" spans="1:10" x14ac:dyDescent="0.25">
      <c r="A34" s="18" t="s">
        <v>184</v>
      </c>
      <c r="B34" s="3">
        <v>46246</v>
      </c>
      <c r="C34" s="18" t="s">
        <v>8</v>
      </c>
      <c r="D34" s="18" t="s">
        <v>794</v>
      </c>
      <c r="E34" s="18" t="s">
        <v>795</v>
      </c>
      <c r="F34" s="20">
        <v>70.8</v>
      </c>
      <c r="G34" s="20"/>
      <c r="H34" s="19">
        <v>46246</v>
      </c>
      <c r="I34" s="18" t="s">
        <v>833</v>
      </c>
      <c r="J34" s="18" t="s">
        <v>796</v>
      </c>
    </row>
    <row r="35" spans="1:10" x14ac:dyDescent="0.25">
      <c r="A35" s="18" t="s">
        <v>204</v>
      </c>
      <c r="B35" s="3">
        <v>46219</v>
      </c>
      <c r="C35" s="18" t="s">
        <v>8</v>
      </c>
      <c r="D35" s="18" t="s">
        <v>253</v>
      </c>
      <c r="E35" s="18" t="s">
        <v>254</v>
      </c>
      <c r="F35" s="20"/>
      <c r="G35" s="20">
        <v>22.5</v>
      </c>
      <c r="H35" s="19">
        <v>46220</v>
      </c>
      <c r="I35" s="18" t="s">
        <v>863</v>
      </c>
      <c r="J35" s="18" t="s">
        <v>255</v>
      </c>
    </row>
    <row r="36" spans="1:10" x14ac:dyDescent="0.25">
      <c r="A36" s="18" t="s">
        <v>204</v>
      </c>
      <c r="B36" s="3">
        <v>46219</v>
      </c>
      <c r="C36" s="18" t="s">
        <v>8</v>
      </c>
      <c r="D36" s="18" t="s">
        <v>253</v>
      </c>
      <c r="E36" s="18" t="s">
        <v>256</v>
      </c>
      <c r="F36" s="20"/>
      <c r="G36" s="20">
        <v>22.5</v>
      </c>
      <c r="H36" s="19">
        <v>46220</v>
      </c>
      <c r="I36" s="18" t="s">
        <v>863</v>
      </c>
      <c r="J36" s="18" t="s">
        <v>255</v>
      </c>
    </row>
    <row r="37" spans="1:10" x14ac:dyDescent="0.25">
      <c r="A37" s="18" t="s">
        <v>159</v>
      </c>
      <c r="B37" s="3">
        <v>46184</v>
      </c>
      <c r="C37" s="18" t="s">
        <v>8</v>
      </c>
      <c r="D37" s="18" t="s">
        <v>112</v>
      </c>
      <c r="E37" s="18" t="s">
        <v>412</v>
      </c>
      <c r="F37" s="20">
        <v>192.5</v>
      </c>
      <c r="G37" s="20"/>
      <c r="H37" s="19">
        <v>46236</v>
      </c>
      <c r="I37" s="18" t="s">
        <v>875</v>
      </c>
      <c r="J37" s="18" t="s">
        <v>413</v>
      </c>
    </row>
    <row r="38" spans="1:10" x14ac:dyDescent="0.25">
      <c r="A38" t="s">
        <v>94</v>
      </c>
      <c r="B38" s="1">
        <v>46167</v>
      </c>
      <c r="C38" t="s">
        <v>8</v>
      </c>
      <c r="D38" t="s">
        <v>9</v>
      </c>
      <c r="E38" t="s">
        <v>104</v>
      </c>
      <c r="F38" s="12">
        <v>297.5</v>
      </c>
      <c r="G38" s="12"/>
      <c r="H38" s="1">
        <v>46172</v>
      </c>
      <c r="J38" t="s">
        <v>105</v>
      </c>
    </row>
    <row r="39" spans="1:10" x14ac:dyDescent="0.25">
      <c r="A39" s="2" t="s">
        <v>290</v>
      </c>
      <c r="B39" s="3">
        <v>46181</v>
      </c>
      <c r="C39" s="2" t="s">
        <v>8</v>
      </c>
      <c r="D39" s="2" t="s">
        <v>112</v>
      </c>
      <c r="E39" s="2" t="s">
        <v>477</v>
      </c>
      <c r="F39" s="11">
        <v>333</v>
      </c>
      <c r="G39" s="11"/>
      <c r="H39" s="3">
        <v>46241</v>
      </c>
      <c r="I39" s="2" t="s">
        <v>877</v>
      </c>
      <c r="J39" s="2" t="s">
        <v>478</v>
      </c>
    </row>
    <row r="40" spans="1:10" x14ac:dyDescent="0.25">
      <c r="A40" s="18" t="s">
        <v>111</v>
      </c>
      <c r="B40" s="3">
        <v>46246</v>
      </c>
      <c r="C40" s="18" t="s">
        <v>8</v>
      </c>
      <c r="D40" s="18" t="s">
        <v>112</v>
      </c>
      <c r="E40" s="18" t="s">
        <v>750</v>
      </c>
      <c r="F40" s="20">
        <v>46</v>
      </c>
      <c r="G40" s="20"/>
      <c r="H40" s="19">
        <v>46246</v>
      </c>
      <c r="I40" s="18" t="s">
        <v>829</v>
      </c>
      <c r="J40" s="18" t="s">
        <v>751</v>
      </c>
    </row>
    <row r="41" spans="1:10" x14ac:dyDescent="0.25">
      <c r="A41" s="18" t="s">
        <v>49</v>
      </c>
      <c r="B41" s="3">
        <v>46120</v>
      </c>
      <c r="C41" s="18" t="s">
        <v>8</v>
      </c>
      <c r="D41" s="18" t="s">
        <v>28</v>
      </c>
      <c r="E41" s="18" t="s">
        <v>50</v>
      </c>
      <c r="F41" s="20">
        <v>86</v>
      </c>
      <c r="G41" s="20"/>
      <c r="H41" s="19">
        <v>46157</v>
      </c>
      <c r="I41" s="18" t="s">
        <v>862</v>
      </c>
      <c r="J41" s="18" t="s">
        <v>51</v>
      </c>
    </row>
    <row r="42" spans="1:10" x14ac:dyDescent="0.25">
      <c r="A42" s="4" t="s">
        <v>115</v>
      </c>
      <c r="B42" s="5">
        <v>46098</v>
      </c>
      <c r="C42" s="4" t="s">
        <v>8</v>
      </c>
      <c r="D42" s="4" t="s">
        <v>44</v>
      </c>
      <c r="E42" s="4" t="s">
        <v>116</v>
      </c>
      <c r="F42" s="13">
        <v>65</v>
      </c>
      <c r="G42" s="13"/>
      <c r="H42" s="5">
        <v>46178</v>
      </c>
      <c r="I42" s="4" t="s">
        <v>729</v>
      </c>
      <c r="J42" s="4" t="s">
        <v>117</v>
      </c>
    </row>
    <row r="43" spans="1:10" x14ac:dyDescent="0.25">
      <c r="A43" s="18" t="s">
        <v>147</v>
      </c>
      <c r="B43" s="3">
        <v>46182</v>
      </c>
      <c r="C43" s="18" t="s">
        <v>8</v>
      </c>
      <c r="D43" s="18" t="s">
        <v>28</v>
      </c>
      <c r="E43" s="18" t="s">
        <v>193</v>
      </c>
      <c r="F43" s="20">
        <v>125</v>
      </c>
      <c r="G43" s="20"/>
      <c r="H43" s="19">
        <v>46209</v>
      </c>
      <c r="I43" s="18" t="s">
        <v>826</v>
      </c>
      <c r="J43" s="18" t="s">
        <v>194</v>
      </c>
    </row>
    <row r="44" spans="1:10" x14ac:dyDescent="0.25">
      <c r="A44" s="2" t="s">
        <v>115</v>
      </c>
      <c r="B44" s="3">
        <v>46246</v>
      </c>
      <c r="C44" s="2" t="s">
        <v>8</v>
      </c>
      <c r="D44" s="2" t="s">
        <v>28</v>
      </c>
      <c r="E44" s="2" t="s">
        <v>754</v>
      </c>
      <c r="F44" s="11">
        <v>415</v>
      </c>
      <c r="G44" s="11"/>
      <c r="H44" s="3">
        <v>46246</v>
      </c>
      <c r="I44" s="2" t="s">
        <v>825</v>
      </c>
      <c r="J44" s="2" t="s">
        <v>130</v>
      </c>
    </row>
    <row r="45" spans="1:10" x14ac:dyDescent="0.25">
      <c r="A45" t="s">
        <v>106</v>
      </c>
      <c r="B45" s="1">
        <v>46135</v>
      </c>
      <c r="C45" t="s">
        <v>8</v>
      </c>
      <c r="D45" t="s">
        <v>9</v>
      </c>
      <c r="E45" t="s">
        <v>124</v>
      </c>
      <c r="F45" s="12">
        <v>122.5</v>
      </c>
      <c r="G45" s="12"/>
      <c r="H45" s="1">
        <v>46181</v>
      </c>
      <c r="J45" t="s">
        <v>125</v>
      </c>
    </row>
    <row r="46" spans="1:10" x14ac:dyDescent="0.25">
      <c r="A46" t="s">
        <v>106</v>
      </c>
      <c r="B46" s="1">
        <v>46168</v>
      </c>
      <c r="C46" t="s">
        <v>8</v>
      </c>
      <c r="D46" t="s">
        <v>9</v>
      </c>
      <c r="E46" t="s">
        <v>126</v>
      </c>
      <c r="F46" s="12">
        <v>10</v>
      </c>
      <c r="G46" s="12"/>
      <c r="H46" s="1">
        <v>46181</v>
      </c>
      <c r="J46" t="s">
        <v>127</v>
      </c>
    </row>
    <row r="47" spans="1:10" x14ac:dyDescent="0.25">
      <c r="A47" s="2" t="s">
        <v>147</v>
      </c>
      <c r="B47" s="3">
        <v>46246</v>
      </c>
      <c r="C47" s="2" t="s">
        <v>8</v>
      </c>
      <c r="D47" s="2" t="s">
        <v>28</v>
      </c>
      <c r="E47" s="2" t="s">
        <v>801</v>
      </c>
      <c r="F47" s="11">
        <v>15</v>
      </c>
      <c r="G47" s="11"/>
      <c r="H47" s="3">
        <v>46246</v>
      </c>
      <c r="I47" s="2" t="s">
        <v>826</v>
      </c>
      <c r="J47" s="2" t="s">
        <v>802</v>
      </c>
    </row>
    <row r="48" spans="1:10" x14ac:dyDescent="0.25">
      <c r="A48" t="s">
        <v>115</v>
      </c>
      <c r="B48" s="1">
        <v>46128</v>
      </c>
      <c r="C48" t="s">
        <v>8</v>
      </c>
      <c r="D48" t="s">
        <v>9</v>
      </c>
      <c r="E48" t="s">
        <v>131</v>
      </c>
      <c r="F48" s="12">
        <v>227.5</v>
      </c>
      <c r="G48" s="12"/>
      <c r="H48" s="1">
        <v>46185</v>
      </c>
      <c r="J48" t="s">
        <v>132</v>
      </c>
    </row>
    <row r="49" spans="1:10" x14ac:dyDescent="0.25">
      <c r="A49" t="s">
        <v>133</v>
      </c>
      <c r="B49" s="1">
        <v>46155</v>
      </c>
      <c r="C49" t="s">
        <v>8</v>
      </c>
      <c r="D49" t="s">
        <v>9</v>
      </c>
      <c r="E49" t="s">
        <v>134</v>
      </c>
      <c r="F49" s="12">
        <v>192.5</v>
      </c>
      <c r="G49" s="12"/>
      <c r="H49" s="1">
        <v>46185</v>
      </c>
      <c r="J49" t="s">
        <v>135</v>
      </c>
    </row>
    <row r="50" spans="1:10" x14ac:dyDescent="0.25">
      <c r="A50" t="s">
        <v>136</v>
      </c>
      <c r="B50" s="1">
        <v>46160</v>
      </c>
      <c r="C50" t="s">
        <v>8</v>
      </c>
      <c r="D50" t="s">
        <v>9</v>
      </c>
      <c r="E50" t="s">
        <v>137</v>
      </c>
      <c r="F50" s="12">
        <v>122.5</v>
      </c>
      <c r="G50" s="12"/>
      <c r="H50" s="1">
        <v>46185</v>
      </c>
      <c r="J50" t="s">
        <v>138</v>
      </c>
    </row>
    <row r="51" spans="1:10" x14ac:dyDescent="0.25">
      <c r="A51" s="18" t="s">
        <v>31</v>
      </c>
      <c r="B51" s="3">
        <v>46150</v>
      </c>
      <c r="C51" s="18" t="s">
        <v>8</v>
      </c>
      <c r="D51" s="18" t="s">
        <v>32</v>
      </c>
      <c r="E51" s="18" t="s">
        <v>33</v>
      </c>
      <c r="F51" s="20">
        <v>160</v>
      </c>
      <c r="G51" s="20"/>
      <c r="H51" s="19">
        <v>46150</v>
      </c>
      <c r="I51" s="18" t="s">
        <v>856</v>
      </c>
      <c r="J51" s="18" t="s">
        <v>34</v>
      </c>
    </row>
    <row r="52" spans="1:10" x14ac:dyDescent="0.25">
      <c r="A52" s="18" t="s">
        <v>152</v>
      </c>
      <c r="B52" s="3">
        <v>46220</v>
      </c>
      <c r="C52" s="18" t="s">
        <v>8</v>
      </c>
      <c r="D52" s="18" t="s">
        <v>234</v>
      </c>
      <c r="E52" s="18" t="s">
        <v>261</v>
      </c>
      <c r="F52" s="20">
        <v>756</v>
      </c>
      <c r="G52" s="20"/>
      <c r="H52" s="19">
        <v>46220</v>
      </c>
      <c r="I52" s="18" t="s">
        <v>864</v>
      </c>
      <c r="J52" s="18" t="s">
        <v>262</v>
      </c>
    </row>
    <row r="53" spans="1:10" x14ac:dyDescent="0.25">
      <c r="A53" s="18" t="s">
        <v>180</v>
      </c>
      <c r="B53" s="3">
        <v>46241</v>
      </c>
      <c r="C53" s="18" t="s">
        <v>8</v>
      </c>
      <c r="D53" s="18" t="s">
        <v>263</v>
      </c>
      <c r="E53" s="18" t="s">
        <v>483</v>
      </c>
      <c r="F53" s="20">
        <v>135</v>
      </c>
      <c r="G53" s="20"/>
      <c r="H53" s="19">
        <v>46241</v>
      </c>
      <c r="I53" s="18" t="s">
        <v>834</v>
      </c>
      <c r="J53" s="18" t="s">
        <v>484</v>
      </c>
    </row>
    <row r="54" spans="1:10" x14ac:dyDescent="0.25">
      <c r="A54" s="18" t="s">
        <v>180</v>
      </c>
      <c r="B54" s="3">
        <v>46241</v>
      </c>
      <c r="C54" s="18" t="s">
        <v>8</v>
      </c>
      <c r="D54" s="18" t="s">
        <v>263</v>
      </c>
      <c r="E54" s="18" t="s">
        <v>485</v>
      </c>
      <c r="F54" s="20">
        <v>135</v>
      </c>
      <c r="G54" s="20"/>
      <c r="H54" s="19">
        <v>46241</v>
      </c>
      <c r="I54" s="18" t="s">
        <v>835</v>
      </c>
      <c r="J54" s="18" t="s">
        <v>484</v>
      </c>
    </row>
    <row r="55" spans="1:10" x14ac:dyDescent="0.25">
      <c r="A55" s="2" t="s">
        <v>215</v>
      </c>
      <c r="B55" s="3">
        <v>46246</v>
      </c>
      <c r="C55" s="2" t="s">
        <v>8</v>
      </c>
      <c r="D55" s="2" t="s">
        <v>263</v>
      </c>
      <c r="E55" s="2" t="s">
        <v>755</v>
      </c>
      <c r="F55" s="11">
        <v>343.5</v>
      </c>
      <c r="G55" s="11"/>
      <c r="H55" s="3">
        <v>46246</v>
      </c>
      <c r="I55" s="2" t="s">
        <v>827</v>
      </c>
      <c r="J55" s="2" t="s">
        <v>756</v>
      </c>
    </row>
    <row r="56" spans="1:10" x14ac:dyDescent="0.25">
      <c r="A56" t="s">
        <v>38</v>
      </c>
      <c r="B56" s="1">
        <v>46190</v>
      </c>
      <c r="C56" t="s">
        <v>8</v>
      </c>
      <c r="D56" t="s">
        <v>87</v>
      </c>
      <c r="E56" t="s">
        <v>150</v>
      </c>
      <c r="F56" s="12">
        <v>25</v>
      </c>
      <c r="G56" s="12"/>
      <c r="H56" s="1">
        <v>46190</v>
      </c>
      <c r="J56" t="s">
        <v>151</v>
      </c>
    </row>
    <row r="57" spans="1:10" x14ac:dyDescent="0.25">
      <c r="A57" t="s">
        <v>152</v>
      </c>
      <c r="B57" s="1">
        <v>46191</v>
      </c>
      <c r="C57" t="s">
        <v>8</v>
      </c>
      <c r="D57" t="s">
        <v>153</v>
      </c>
      <c r="E57" t="s">
        <v>154</v>
      </c>
      <c r="F57" s="12"/>
      <c r="G57" s="12">
        <v>20</v>
      </c>
      <c r="H57" s="1">
        <v>46192</v>
      </c>
      <c r="J57" t="s">
        <v>155</v>
      </c>
    </row>
    <row r="58" spans="1:10" x14ac:dyDescent="0.25">
      <c r="A58" s="2" t="s">
        <v>215</v>
      </c>
      <c r="B58" s="3">
        <v>46246</v>
      </c>
      <c r="C58" s="2" t="s">
        <v>8</v>
      </c>
      <c r="D58" s="2" t="s">
        <v>263</v>
      </c>
      <c r="E58" s="2" t="s">
        <v>757</v>
      </c>
      <c r="F58" s="11">
        <v>343.5</v>
      </c>
      <c r="G58" s="11"/>
      <c r="H58" s="3">
        <v>46246</v>
      </c>
      <c r="I58" s="2" t="s">
        <v>827</v>
      </c>
      <c r="J58" s="2" t="s">
        <v>756</v>
      </c>
    </row>
    <row r="59" spans="1:10" x14ac:dyDescent="0.25">
      <c r="A59" s="18" t="s">
        <v>152</v>
      </c>
      <c r="B59" s="3">
        <v>46246</v>
      </c>
      <c r="C59" s="18" t="s">
        <v>8</v>
      </c>
      <c r="D59" s="18" t="s">
        <v>263</v>
      </c>
      <c r="E59" s="18" t="s">
        <v>758</v>
      </c>
      <c r="F59" s="20"/>
      <c r="G59" s="20">
        <v>37.5</v>
      </c>
      <c r="H59" s="19">
        <v>46246</v>
      </c>
      <c r="I59" s="18" t="s">
        <v>892</v>
      </c>
      <c r="J59" s="18" t="s">
        <v>759</v>
      </c>
    </row>
    <row r="60" spans="1:10" x14ac:dyDescent="0.25">
      <c r="A60" t="s">
        <v>152</v>
      </c>
      <c r="B60" s="1">
        <v>46185</v>
      </c>
      <c r="C60" t="s">
        <v>8</v>
      </c>
      <c r="D60" t="s">
        <v>163</v>
      </c>
      <c r="E60" t="s">
        <v>164</v>
      </c>
      <c r="F60" s="12">
        <v>831.9</v>
      </c>
      <c r="G60" s="12"/>
      <c r="H60" s="1">
        <v>46192</v>
      </c>
      <c r="J60" t="s">
        <v>165</v>
      </c>
    </row>
    <row r="61" spans="1:10" x14ac:dyDescent="0.25">
      <c r="A61" t="s">
        <v>121</v>
      </c>
      <c r="B61" s="1">
        <v>46175</v>
      </c>
      <c r="C61" t="s">
        <v>8</v>
      </c>
      <c r="D61" t="s">
        <v>9</v>
      </c>
      <c r="E61" t="s">
        <v>166</v>
      </c>
      <c r="F61" s="12">
        <v>245</v>
      </c>
      <c r="G61" s="12"/>
      <c r="H61" s="1">
        <v>46192</v>
      </c>
      <c r="J61" t="s">
        <v>167</v>
      </c>
    </row>
    <row r="62" spans="1:10" x14ac:dyDescent="0.25">
      <c r="A62" s="18" t="s">
        <v>152</v>
      </c>
      <c r="B62" s="3">
        <v>46246</v>
      </c>
      <c r="C62" s="18" t="s">
        <v>8</v>
      </c>
      <c r="D62" s="18" t="s">
        <v>263</v>
      </c>
      <c r="E62" s="18" t="s">
        <v>760</v>
      </c>
      <c r="F62" s="20"/>
      <c r="G62" s="20">
        <v>37.5</v>
      </c>
      <c r="H62" s="19">
        <v>46246</v>
      </c>
      <c r="I62" s="18" t="s">
        <v>892</v>
      </c>
      <c r="J62" s="18" t="s">
        <v>759</v>
      </c>
    </row>
    <row r="63" spans="1:10" x14ac:dyDescent="0.25">
      <c r="A63" s="18" t="s">
        <v>147</v>
      </c>
      <c r="B63" s="3">
        <v>46246</v>
      </c>
      <c r="C63" s="18" t="s">
        <v>8</v>
      </c>
      <c r="D63" s="18" t="s">
        <v>263</v>
      </c>
      <c r="E63" s="18" t="s">
        <v>761</v>
      </c>
      <c r="F63" s="20"/>
      <c r="G63" s="20">
        <v>12.5</v>
      </c>
      <c r="H63" s="19">
        <v>46246</v>
      </c>
      <c r="I63" s="18" t="s">
        <v>892</v>
      </c>
      <c r="J63" s="18" t="s">
        <v>762</v>
      </c>
    </row>
    <row r="64" spans="1:10" x14ac:dyDescent="0.25">
      <c r="A64" t="s">
        <v>115</v>
      </c>
      <c r="B64" s="1">
        <v>46192</v>
      </c>
      <c r="C64" t="s">
        <v>8</v>
      </c>
      <c r="D64" t="s">
        <v>17</v>
      </c>
      <c r="E64" t="s">
        <v>171</v>
      </c>
      <c r="F64" s="12">
        <v>2.95</v>
      </c>
      <c r="G64" s="12"/>
      <c r="H64" s="1">
        <v>46192</v>
      </c>
      <c r="I64" t="s">
        <v>404</v>
      </c>
      <c r="J64" t="s">
        <v>172</v>
      </c>
    </row>
    <row r="65" spans="1:10" x14ac:dyDescent="0.25">
      <c r="A65" t="s">
        <v>115</v>
      </c>
      <c r="B65" s="1">
        <v>46192</v>
      </c>
      <c r="C65" t="s">
        <v>8</v>
      </c>
      <c r="D65" t="s">
        <v>17</v>
      </c>
      <c r="E65" t="s">
        <v>173</v>
      </c>
      <c r="F65" s="12">
        <v>2.95</v>
      </c>
      <c r="G65" s="12"/>
      <c r="H65" s="1">
        <v>46192</v>
      </c>
      <c r="I65" t="s">
        <v>404</v>
      </c>
      <c r="J65" t="s">
        <v>172</v>
      </c>
    </row>
    <row r="66" spans="1:10" x14ac:dyDescent="0.25">
      <c r="A66" t="s">
        <v>147</v>
      </c>
      <c r="B66" s="1">
        <v>46183</v>
      </c>
      <c r="C66" t="s">
        <v>8</v>
      </c>
      <c r="D66" t="s">
        <v>32</v>
      </c>
      <c r="E66" t="s">
        <v>174</v>
      </c>
      <c r="F66" s="12">
        <v>200</v>
      </c>
      <c r="G66" s="12"/>
      <c r="H66" s="1">
        <v>46196</v>
      </c>
      <c r="I66" t="s">
        <v>854</v>
      </c>
      <c r="J66" t="s">
        <v>175</v>
      </c>
    </row>
    <row r="67" spans="1:10" x14ac:dyDescent="0.25">
      <c r="A67" t="s">
        <v>152</v>
      </c>
      <c r="B67" s="1">
        <v>46155</v>
      </c>
      <c r="C67" t="s">
        <v>8</v>
      </c>
      <c r="D67" t="s">
        <v>9</v>
      </c>
      <c r="E67" t="s">
        <v>176</v>
      </c>
      <c r="F67" s="12">
        <v>227.5</v>
      </c>
      <c r="G67" s="12"/>
      <c r="H67" s="1">
        <v>46199</v>
      </c>
      <c r="J67" t="s">
        <v>177</v>
      </c>
    </row>
    <row r="68" spans="1:10" x14ac:dyDescent="0.25">
      <c r="A68" t="s">
        <v>111</v>
      </c>
      <c r="B68" s="1">
        <v>46177</v>
      </c>
      <c r="C68" t="s">
        <v>8</v>
      </c>
      <c r="D68" t="s">
        <v>9</v>
      </c>
      <c r="E68" t="s">
        <v>178</v>
      </c>
      <c r="F68" s="12">
        <v>262.5</v>
      </c>
      <c r="G68" s="12"/>
      <c r="H68" s="1">
        <v>46200</v>
      </c>
      <c r="J68" t="s">
        <v>179</v>
      </c>
    </row>
    <row r="69" spans="1:10" x14ac:dyDescent="0.25">
      <c r="A69" s="4" t="s">
        <v>180</v>
      </c>
      <c r="B69" s="5">
        <v>46233</v>
      </c>
      <c r="C69" s="4" t="s">
        <v>43</v>
      </c>
      <c r="D69" s="4" t="s">
        <v>181</v>
      </c>
      <c r="E69" s="4" t="s">
        <v>182</v>
      </c>
      <c r="F69" s="13">
        <v>764</v>
      </c>
      <c r="G69" s="13"/>
      <c r="H69" s="5">
        <v>46203</v>
      </c>
      <c r="I69" s="4" t="s">
        <v>697</v>
      </c>
      <c r="J69" s="4" t="s">
        <v>183</v>
      </c>
    </row>
    <row r="70" spans="1:10" x14ac:dyDescent="0.25">
      <c r="A70" s="4" t="s">
        <v>184</v>
      </c>
      <c r="B70" s="5">
        <v>46176</v>
      </c>
      <c r="C70" s="4" t="s">
        <v>43</v>
      </c>
      <c r="D70" s="4" t="s">
        <v>44</v>
      </c>
      <c r="E70" s="4" t="s">
        <v>185</v>
      </c>
      <c r="F70" s="13">
        <v>65</v>
      </c>
      <c r="G70" s="13"/>
      <c r="H70" s="5">
        <v>46204</v>
      </c>
      <c r="I70" s="4" t="s">
        <v>697</v>
      </c>
      <c r="J70" s="4" t="s">
        <v>186</v>
      </c>
    </row>
    <row r="71" spans="1:10" x14ac:dyDescent="0.25">
      <c r="A71" t="s">
        <v>187</v>
      </c>
      <c r="B71" s="1">
        <v>46203</v>
      </c>
      <c r="C71" t="s">
        <v>8</v>
      </c>
      <c r="D71" t="s">
        <v>153</v>
      </c>
      <c r="E71" t="s">
        <v>188</v>
      </c>
      <c r="F71" s="12"/>
      <c r="G71" s="12">
        <v>20</v>
      </c>
      <c r="H71" s="1">
        <v>46206</v>
      </c>
      <c r="J71" t="s">
        <v>189</v>
      </c>
    </row>
    <row r="72" spans="1:10" x14ac:dyDescent="0.25">
      <c r="A72" t="s">
        <v>190</v>
      </c>
      <c r="B72" s="1">
        <v>46171</v>
      </c>
      <c r="C72" t="s">
        <v>8</v>
      </c>
      <c r="D72" t="s">
        <v>32</v>
      </c>
      <c r="E72" t="s">
        <v>191</v>
      </c>
      <c r="F72" s="12">
        <v>254</v>
      </c>
      <c r="G72" s="12"/>
      <c r="H72" s="1">
        <v>46206</v>
      </c>
      <c r="I72" t="s">
        <v>855</v>
      </c>
      <c r="J72" t="s">
        <v>192</v>
      </c>
    </row>
    <row r="73" spans="1:10" x14ac:dyDescent="0.25">
      <c r="A73" s="18" t="s">
        <v>147</v>
      </c>
      <c r="B73" s="3">
        <v>46246</v>
      </c>
      <c r="C73" s="18" t="s">
        <v>8</v>
      </c>
      <c r="D73" s="18" t="s">
        <v>263</v>
      </c>
      <c r="E73" s="18" t="s">
        <v>763</v>
      </c>
      <c r="F73" s="20"/>
      <c r="G73" s="20">
        <v>12.5</v>
      </c>
      <c r="H73" s="19">
        <v>46246</v>
      </c>
      <c r="I73" s="18" t="s">
        <v>892</v>
      </c>
      <c r="J73" s="18" t="s">
        <v>762</v>
      </c>
    </row>
    <row r="74" spans="1:10" x14ac:dyDescent="0.25">
      <c r="A74" t="s">
        <v>147</v>
      </c>
      <c r="B74" s="1">
        <v>46177</v>
      </c>
      <c r="C74" t="s">
        <v>8</v>
      </c>
      <c r="D74" t="s">
        <v>9</v>
      </c>
      <c r="E74" t="s">
        <v>195</v>
      </c>
      <c r="F74" s="12">
        <v>157.5</v>
      </c>
      <c r="G74" s="12"/>
      <c r="H74" s="1">
        <v>46209</v>
      </c>
      <c r="J74" t="s">
        <v>196</v>
      </c>
    </row>
    <row r="75" spans="1:10" x14ac:dyDescent="0.25">
      <c r="A75" t="s">
        <v>198</v>
      </c>
      <c r="B75" s="1">
        <v>46184</v>
      </c>
      <c r="C75" t="s">
        <v>43</v>
      </c>
      <c r="D75" t="s">
        <v>793</v>
      </c>
      <c r="E75" t="s">
        <v>199</v>
      </c>
      <c r="F75" s="12">
        <v>28.32</v>
      </c>
      <c r="G75" s="12"/>
      <c r="H75" s="1">
        <v>46211</v>
      </c>
      <c r="I75" t="s">
        <v>837</v>
      </c>
      <c r="J75" t="s">
        <v>200</v>
      </c>
    </row>
    <row r="76" spans="1:10" x14ac:dyDescent="0.25">
      <c r="A76" t="s">
        <v>159</v>
      </c>
      <c r="B76" s="1">
        <v>46178</v>
      </c>
      <c r="C76" t="s">
        <v>43</v>
      </c>
      <c r="D76" t="s">
        <v>201</v>
      </c>
      <c r="E76" t="s">
        <v>202</v>
      </c>
      <c r="F76" s="12">
        <v>657.68</v>
      </c>
      <c r="G76" s="12"/>
      <c r="H76" s="1">
        <v>46211</v>
      </c>
      <c r="I76" t="s">
        <v>736</v>
      </c>
      <c r="J76" t="s">
        <v>203</v>
      </c>
    </row>
    <row r="77" spans="1:10" x14ac:dyDescent="0.25">
      <c r="A77" t="s">
        <v>204</v>
      </c>
      <c r="B77" s="1">
        <v>46211</v>
      </c>
      <c r="C77" t="s">
        <v>43</v>
      </c>
      <c r="D77" t="s">
        <v>205</v>
      </c>
      <c r="E77" t="s">
        <v>206</v>
      </c>
      <c r="F77" s="17">
        <v>60</v>
      </c>
      <c r="G77" s="17"/>
      <c r="H77" s="1">
        <v>46211</v>
      </c>
      <c r="J77" t="s">
        <v>207</v>
      </c>
    </row>
    <row r="78" spans="1:10" x14ac:dyDescent="0.25">
      <c r="A78" t="s">
        <v>184</v>
      </c>
      <c r="B78" s="1">
        <v>46176</v>
      </c>
      <c r="C78" t="s">
        <v>8</v>
      </c>
      <c r="D78" t="s">
        <v>32</v>
      </c>
      <c r="E78" t="s">
        <v>208</v>
      </c>
      <c r="F78" s="12">
        <v>80</v>
      </c>
      <c r="G78" s="12"/>
      <c r="H78" s="1">
        <v>46211</v>
      </c>
      <c r="J78" t="s">
        <v>209</v>
      </c>
    </row>
    <row r="79" spans="1:10" x14ac:dyDescent="0.25">
      <c r="A79" t="s">
        <v>184</v>
      </c>
      <c r="B79" s="1">
        <v>46163</v>
      </c>
      <c r="C79" t="s">
        <v>43</v>
      </c>
      <c r="D79" t="s">
        <v>793</v>
      </c>
      <c r="E79" t="s">
        <v>210</v>
      </c>
      <c r="F79" s="12">
        <v>66.08</v>
      </c>
      <c r="G79" s="12"/>
      <c r="H79" s="1">
        <v>46213</v>
      </c>
      <c r="J79" t="s">
        <v>211</v>
      </c>
    </row>
    <row r="80" spans="1:10" x14ac:dyDescent="0.25">
      <c r="A80" t="s">
        <v>212</v>
      </c>
      <c r="B80" s="1">
        <v>46204</v>
      </c>
      <c r="C80" t="s">
        <v>43</v>
      </c>
      <c r="D80" t="s">
        <v>201</v>
      </c>
      <c r="E80" t="s">
        <v>213</v>
      </c>
      <c r="F80" s="12">
        <v>467.56</v>
      </c>
      <c r="G80" s="12"/>
      <c r="H80" s="1">
        <v>46213</v>
      </c>
      <c r="J80" t="s">
        <v>214</v>
      </c>
    </row>
    <row r="81" spans="1:10" x14ac:dyDescent="0.25">
      <c r="A81" t="s">
        <v>215</v>
      </c>
      <c r="B81" s="1">
        <v>46205</v>
      </c>
      <c r="C81" t="s">
        <v>8</v>
      </c>
      <c r="D81" t="s">
        <v>156</v>
      </c>
      <c r="E81" t="s">
        <v>216</v>
      </c>
      <c r="F81" s="12">
        <v>90</v>
      </c>
      <c r="G81" s="12"/>
      <c r="H81" s="1">
        <v>46213</v>
      </c>
      <c r="J81" t="s">
        <v>217</v>
      </c>
    </row>
    <row r="82" spans="1:10" x14ac:dyDescent="0.25">
      <c r="A82" t="s">
        <v>190</v>
      </c>
      <c r="B82" s="1">
        <v>46197</v>
      </c>
      <c r="C82" t="s">
        <v>8</v>
      </c>
      <c r="D82" t="s">
        <v>28</v>
      </c>
      <c r="E82" t="s">
        <v>220</v>
      </c>
      <c r="F82" s="12">
        <v>71</v>
      </c>
      <c r="G82" s="12"/>
      <c r="H82" s="1">
        <v>46213</v>
      </c>
      <c r="J82" t="s">
        <v>221</v>
      </c>
    </row>
    <row r="83" spans="1:10" x14ac:dyDescent="0.25">
      <c r="A83" t="s">
        <v>215</v>
      </c>
      <c r="B83" s="1">
        <v>46205</v>
      </c>
      <c r="C83" t="s">
        <v>8</v>
      </c>
      <c r="D83" t="s">
        <v>32</v>
      </c>
      <c r="E83" t="s">
        <v>222</v>
      </c>
      <c r="F83" s="12">
        <v>94</v>
      </c>
      <c r="G83" s="12"/>
      <c r="H83" s="1">
        <v>46213</v>
      </c>
      <c r="J83" t="s">
        <v>223</v>
      </c>
    </row>
    <row r="84" spans="1:10" x14ac:dyDescent="0.25">
      <c r="A84" t="s">
        <v>190</v>
      </c>
      <c r="B84" s="1">
        <v>46190</v>
      </c>
      <c r="C84" t="s">
        <v>8</v>
      </c>
      <c r="D84" t="s">
        <v>9</v>
      </c>
      <c r="E84" t="s">
        <v>224</v>
      </c>
      <c r="F84" s="12">
        <v>140</v>
      </c>
      <c r="G84" s="12"/>
      <c r="H84" s="1">
        <v>46213</v>
      </c>
      <c r="J84" t="s">
        <v>225</v>
      </c>
    </row>
    <row r="85" spans="1:10" x14ac:dyDescent="0.25">
      <c r="A85" t="s">
        <v>190</v>
      </c>
      <c r="B85" s="1">
        <v>46190</v>
      </c>
      <c r="C85" t="s">
        <v>8</v>
      </c>
      <c r="D85" t="s">
        <v>87</v>
      </c>
      <c r="E85" t="s">
        <v>226</v>
      </c>
      <c r="F85" s="12">
        <v>54</v>
      </c>
      <c r="G85" s="12"/>
      <c r="H85" s="1">
        <v>46213</v>
      </c>
      <c r="J85" t="s">
        <v>227</v>
      </c>
    </row>
    <row r="86" spans="1:10" x14ac:dyDescent="0.25">
      <c r="A86" s="4" t="s">
        <v>204</v>
      </c>
      <c r="B86" s="5">
        <v>46183</v>
      </c>
      <c r="C86" s="4" t="s">
        <v>8</v>
      </c>
      <c r="D86" s="4" t="s">
        <v>228</v>
      </c>
      <c r="E86" s="4" t="s">
        <v>229</v>
      </c>
      <c r="F86" s="13">
        <v>150</v>
      </c>
      <c r="G86" s="13"/>
      <c r="H86" s="5">
        <v>46214</v>
      </c>
      <c r="I86" s="4" t="s">
        <v>697</v>
      </c>
      <c r="J86" s="4" t="s">
        <v>230</v>
      </c>
    </row>
    <row r="87" spans="1:10" x14ac:dyDescent="0.25">
      <c r="A87" s="18" t="s">
        <v>94</v>
      </c>
      <c r="B87" s="3">
        <v>46147</v>
      </c>
      <c r="C87" s="18" t="s">
        <v>8</v>
      </c>
      <c r="D87" s="18" t="s">
        <v>55</v>
      </c>
      <c r="E87" s="18" t="s">
        <v>139</v>
      </c>
      <c r="F87" s="20">
        <v>1227.4000000000001</v>
      </c>
      <c r="G87" s="20"/>
      <c r="H87" s="19">
        <v>46185</v>
      </c>
      <c r="I87" s="18" t="s">
        <v>879</v>
      </c>
      <c r="J87" s="18" t="s">
        <v>140</v>
      </c>
    </row>
    <row r="88" spans="1:10" x14ac:dyDescent="0.25">
      <c r="A88" t="s">
        <v>204</v>
      </c>
      <c r="B88" s="1">
        <v>46183</v>
      </c>
      <c r="C88" t="s">
        <v>8</v>
      </c>
      <c r="D88" t="s">
        <v>32</v>
      </c>
      <c r="E88" t="s">
        <v>231</v>
      </c>
      <c r="F88" s="12">
        <v>80</v>
      </c>
      <c r="G88" s="12"/>
      <c r="H88" s="1">
        <v>46215</v>
      </c>
      <c r="J88" t="s">
        <v>232</v>
      </c>
    </row>
    <row r="89" spans="1:10" x14ac:dyDescent="0.25">
      <c r="A89" t="s">
        <v>233</v>
      </c>
      <c r="B89" s="1">
        <v>46233</v>
      </c>
      <c r="C89" t="s">
        <v>8</v>
      </c>
      <c r="D89" t="s">
        <v>234</v>
      </c>
      <c r="E89" t="s">
        <v>235</v>
      </c>
      <c r="F89" s="12">
        <v>255</v>
      </c>
      <c r="G89" s="12"/>
      <c r="H89" s="1">
        <v>46215</v>
      </c>
      <c r="J89" t="s">
        <v>236</v>
      </c>
    </row>
    <row r="90" spans="1:10" x14ac:dyDescent="0.25">
      <c r="A90" s="18" t="s">
        <v>115</v>
      </c>
      <c r="B90" s="3">
        <v>46128</v>
      </c>
      <c r="C90" s="18" t="s">
        <v>8</v>
      </c>
      <c r="D90" s="18" t="s">
        <v>55</v>
      </c>
      <c r="E90" s="18" t="s">
        <v>168</v>
      </c>
      <c r="F90" s="20">
        <v>1131.8</v>
      </c>
      <c r="G90" s="20"/>
      <c r="H90" s="19">
        <v>46192</v>
      </c>
      <c r="I90" s="18" t="s">
        <v>880</v>
      </c>
      <c r="J90" s="18" t="s">
        <v>169</v>
      </c>
    </row>
    <row r="91" spans="1:10" x14ac:dyDescent="0.25">
      <c r="A91" t="s">
        <v>204</v>
      </c>
      <c r="B91" s="1">
        <v>46219</v>
      </c>
      <c r="C91" t="s">
        <v>43</v>
      </c>
      <c r="D91" t="s">
        <v>240</v>
      </c>
      <c r="E91" t="s">
        <v>241</v>
      </c>
      <c r="F91" s="12"/>
      <c r="G91" s="12">
        <v>528.5</v>
      </c>
      <c r="H91" s="1">
        <v>46220</v>
      </c>
      <c r="J91" t="s">
        <v>242</v>
      </c>
    </row>
    <row r="92" spans="1:10" x14ac:dyDescent="0.25">
      <c r="A92" s="2" t="s">
        <v>159</v>
      </c>
      <c r="B92" s="3">
        <v>46178</v>
      </c>
      <c r="C92" s="2" t="s">
        <v>8</v>
      </c>
      <c r="D92" s="2" t="s">
        <v>55</v>
      </c>
      <c r="E92" s="2" t="s">
        <v>346</v>
      </c>
      <c r="F92" s="11">
        <v>1426</v>
      </c>
      <c r="G92" s="11"/>
      <c r="H92" s="3">
        <v>46230</v>
      </c>
      <c r="I92" s="2" t="s">
        <v>881</v>
      </c>
      <c r="J92" s="2" t="s">
        <v>347</v>
      </c>
    </row>
    <row r="93" spans="1:10" x14ac:dyDescent="0.25">
      <c r="A93" t="s">
        <v>152</v>
      </c>
      <c r="B93" s="1">
        <v>46220</v>
      </c>
      <c r="C93" t="s">
        <v>8</v>
      </c>
      <c r="D93" t="s">
        <v>245</v>
      </c>
      <c r="E93" t="s">
        <v>246</v>
      </c>
      <c r="F93" s="12">
        <v>46</v>
      </c>
      <c r="G93" s="12"/>
      <c r="H93" s="1">
        <v>46220</v>
      </c>
      <c r="J93" t="s">
        <v>247</v>
      </c>
    </row>
    <row r="94" spans="1:10" x14ac:dyDescent="0.25">
      <c r="A94" s="2" t="s">
        <v>115</v>
      </c>
      <c r="B94" s="3">
        <v>46246</v>
      </c>
      <c r="C94" s="2" t="s">
        <v>8</v>
      </c>
      <c r="D94" s="2" t="s">
        <v>55</v>
      </c>
      <c r="E94" s="2" t="s">
        <v>768</v>
      </c>
      <c r="F94" s="11"/>
      <c r="G94" s="11">
        <v>129.08000000000001</v>
      </c>
      <c r="H94" s="3">
        <v>46246</v>
      </c>
      <c r="I94" s="2" t="s">
        <v>830</v>
      </c>
      <c r="J94" s="2" t="s">
        <v>769</v>
      </c>
    </row>
    <row r="95" spans="1:10" x14ac:dyDescent="0.25">
      <c r="A95" t="s">
        <v>204</v>
      </c>
      <c r="B95" s="1">
        <v>46156</v>
      </c>
      <c r="C95" t="s">
        <v>8</v>
      </c>
      <c r="D95" t="s">
        <v>250</v>
      </c>
      <c r="E95" t="s">
        <v>251</v>
      </c>
      <c r="F95" s="12">
        <v>124.3</v>
      </c>
      <c r="G95" s="12"/>
      <c r="H95" s="1">
        <v>46220</v>
      </c>
      <c r="J95" t="s">
        <v>252</v>
      </c>
    </row>
    <row r="96" spans="1:10" x14ac:dyDescent="0.25">
      <c r="A96" s="2" t="s">
        <v>204</v>
      </c>
      <c r="B96" s="3">
        <v>46246</v>
      </c>
      <c r="C96" s="2" t="s">
        <v>8</v>
      </c>
      <c r="D96" s="2" t="s">
        <v>55</v>
      </c>
      <c r="E96" s="2" t="s">
        <v>770</v>
      </c>
      <c r="F96" s="11">
        <v>971.8</v>
      </c>
      <c r="G96" s="11"/>
      <c r="H96" s="3">
        <v>46246</v>
      </c>
      <c r="I96" s="2" t="s">
        <v>831</v>
      </c>
      <c r="J96" s="2" t="s">
        <v>771</v>
      </c>
    </row>
    <row r="97" spans="1:10" x14ac:dyDescent="0.25">
      <c r="A97" s="18" t="s">
        <v>70</v>
      </c>
      <c r="B97" s="3">
        <v>46171</v>
      </c>
      <c r="C97" s="18" t="s">
        <v>8</v>
      </c>
      <c r="D97" s="18" t="s">
        <v>118</v>
      </c>
      <c r="E97" s="18" t="s">
        <v>119</v>
      </c>
      <c r="F97" s="20">
        <f>2335.22-733.52</f>
        <v>1601.6999999999998</v>
      </c>
      <c r="G97" s="20"/>
      <c r="H97" s="19">
        <v>46178</v>
      </c>
      <c r="I97" s="18" t="s">
        <v>878</v>
      </c>
      <c r="J97" s="18" t="s">
        <v>120</v>
      </c>
    </row>
    <row r="98" spans="1:10" x14ac:dyDescent="0.25">
      <c r="A98" t="s">
        <v>184</v>
      </c>
      <c r="B98" s="1">
        <v>46183</v>
      </c>
      <c r="C98" t="s">
        <v>8</v>
      </c>
      <c r="D98" t="s">
        <v>28</v>
      </c>
      <c r="E98" t="s">
        <v>257</v>
      </c>
      <c r="F98" s="12">
        <v>274.5</v>
      </c>
      <c r="G98" s="12"/>
      <c r="H98" s="1">
        <v>46220</v>
      </c>
      <c r="J98" t="s">
        <v>258</v>
      </c>
    </row>
    <row r="99" spans="1:10" x14ac:dyDescent="0.25">
      <c r="A99" t="s">
        <v>204</v>
      </c>
      <c r="B99" s="1">
        <v>46211</v>
      </c>
      <c r="C99" t="s">
        <v>8</v>
      </c>
      <c r="D99" t="s">
        <v>32</v>
      </c>
      <c r="E99" t="s">
        <v>259</v>
      </c>
      <c r="F99" s="12">
        <v>94</v>
      </c>
      <c r="G99" s="12"/>
      <c r="H99" s="1">
        <v>46220</v>
      </c>
      <c r="J99" t="s">
        <v>260</v>
      </c>
    </row>
    <row r="100" spans="1:10" x14ac:dyDescent="0.25">
      <c r="A100" s="18" t="s">
        <v>49</v>
      </c>
      <c r="B100" s="3">
        <v>46171</v>
      </c>
      <c r="C100" s="18" t="s">
        <v>8</v>
      </c>
      <c r="D100" s="18" t="s">
        <v>87</v>
      </c>
      <c r="E100" s="18" t="s">
        <v>88</v>
      </c>
      <c r="F100" s="20">
        <v>9</v>
      </c>
      <c r="G100" s="20"/>
      <c r="H100" s="19">
        <v>46171</v>
      </c>
      <c r="I100" s="18" t="s">
        <v>857</v>
      </c>
      <c r="J100" s="18" t="s">
        <v>89</v>
      </c>
    </row>
    <row r="101" spans="1:10" x14ac:dyDescent="0.25">
      <c r="A101" t="s">
        <v>215</v>
      </c>
      <c r="B101" s="1">
        <v>46205</v>
      </c>
      <c r="C101" t="s">
        <v>8</v>
      </c>
      <c r="D101" t="s">
        <v>9</v>
      </c>
      <c r="E101" t="s">
        <v>264</v>
      </c>
      <c r="F101" s="12">
        <v>175</v>
      </c>
      <c r="G101" s="12"/>
      <c r="H101" s="1">
        <v>46220</v>
      </c>
      <c r="J101" t="s">
        <v>265</v>
      </c>
    </row>
    <row r="102" spans="1:10" x14ac:dyDescent="0.25">
      <c r="A102" s="18" t="s">
        <v>42</v>
      </c>
      <c r="B102" s="3">
        <v>46171</v>
      </c>
      <c r="C102" s="18" t="s">
        <v>8</v>
      </c>
      <c r="D102" s="18" t="s">
        <v>87</v>
      </c>
      <c r="E102" s="18" t="s">
        <v>90</v>
      </c>
      <c r="F102" s="20">
        <v>24</v>
      </c>
      <c r="G102" s="20"/>
      <c r="H102" s="19">
        <v>46171</v>
      </c>
      <c r="I102" s="18" t="s">
        <v>858</v>
      </c>
      <c r="J102" s="18" t="s">
        <v>91</v>
      </c>
    </row>
    <row r="103" spans="1:10" x14ac:dyDescent="0.25">
      <c r="A103" s="18" t="s">
        <v>106</v>
      </c>
      <c r="B103" s="3">
        <v>46135</v>
      </c>
      <c r="C103" s="18" t="s">
        <v>8</v>
      </c>
      <c r="D103" s="18" t="s">
        <v>87</v>
      </c>
      <c r="E103" s="18" t="s">
        <v>107</v>
      </c>
      <c r="F103" s="20">
        <v>63</v>
      </c>
      <c r="G103" s="20"/>
      <c r="H103" s="19">
        <v>46175</v>
      </c>
      <c r="I103" s="18" t="s">
        <v>818</v>
      </c>
      <c r="J103" s="18" t="s">
        <v>108</v>
      </c>
    </row>
    <row r="104" spans="1:10" x14ac:dyDescent="0.25">
      <c r="A104" t="s">
        <v>215</v>
      </c>
      <c r="B104" s="1">
        <v>46205</v>
      </c>
      <c r="C104" t="s">
        <v>8</v>
      </c>
      <c r="D104" t="s">
        <v>237</v>
      </c>
      <c r="E104" t="s">
        <v>271</v>
      </c>
      <c r="F104" s="12">
        <v>45</v>
      </c>
      <c r="G104" s="12"/>
      <c r="H104" s="1">
        <v>46220</v>
      </c>
      <c r="I104" t="s">
        <v>847</v>
      </c>
      <c r="J104" t="s">
        <v>272</v>
      </c>
    </row>
    <row r="105" spans="1:10" x14ac:dyDescent="0.25">
      <c r="A105" t="s">
        <v>159</v>
      </c>
      <c r="B105" s="1">
        <v>46175</v>
      </c>
      <c r="C105" t="s">
        <v>8</v>
      </c>
      <c r="D105" t="s">
        <v>273</v>
      </c>
      <c r="E105" t="s">
        <v>274</v>
      </c>
      <c r="F105" s="12">
        <v>521.4</v>
      </c>
      <c r="G105" s="12"/>
      <c r="H105" s="1">
        <v>46221</v>
      </c>
      <c r="J105" t="s">
        <v>275</v>
      </c>
    </row>
    <row r="106" spans="1:10" x14ac:dyDescent="0.25">
      <c r="A106" t="s">
        <v>184</v>
      </c>
      <c r="B106" s="1">
        <v>46176</v>
      </c>
      <c r="C106" t="s">
        <v>8</v>
      </c>
      <c r="D106" t="s">
        <v>276</v>
      </c>
      <c r="E106" t="s">
        <v>277</v>
      </c>
      <c r="F106" s="12">
        <v>306.89999999999998</v>
      </c>
      <c r="G106" s="12"/>
      <c r="H106" s="1">
        <v>46221</v>
      </c>
      <c r="J106" t="s">
        <v>278</v>
      </c>
    </row>
    <row r="107" spans="1:10" x14ac:dyDescent="0.25">
      <c r="A107" t="s">
        <v>184</v>
      </c>
      <c r="B107" s="1">
        <v>46176</v>
      </c>
      <c r="C107" t="s">
        <v>8</v>
      </c>
      <c r="D107" t="s">
        <v>276</v>
      </c>
      <c r="E107" t="s">
        <v>279</v>
      </c>
      <c r="F107" s="12">
        <v>306.89999999999998</v>
      </c>
      <c r="G107" s="12"/>
      <c r="H107" s="1">
        <v>46221</v>
      </c>
      <c r="J107" t="s">
        <v>280</v>
      </c>
    </row>
    <row r="108" spans="1:10" x14ac:dyDescent="0.25">
      <c r="A108" t="s">
        <v>198</v>
      </c>
      <c r="B108" s="1">
        <v>46184</v>
      </c>
      <c r="C108" t="s">
        <v>43</v>
      </c>
      <c r="D108" t="s">
        <v>17</v>
      </c>
      <c r="E108" t="s">
        <v>281</v>
      </c>
      <c r="F108" s="12">
        <v>115.64</v>
      </c>
      <c r="G108" s="12"/>
      <c r="H108" s="1">
        <v>46222</v>
      </c>
      <c r="I108" t="s">
        <v>874</v>
      </c>
      <c r="J108" t="s">
        <v>282</v>
      </c>
    </row>
    <row r="109" spans="1:10" x14ac:dyDescent="0.25">
      <c r="A109" t="s">
        <v>184</v>
      </c>
      <c r="B109" s="1">
        <v>46176</v>
      </c>
      <c r="C109" t="s">
        <v>8</v>
      </c>
      <c r="D109" t="s">
        <v>9</v>
      </c>
      <c r="E109" t="s">
        <v>283</v>
      </c>
      <c r="F109" s="12">
        <v>262.5</v>
      </c>
      <c r="G109" s="12"/>
      <c r="H109" s="1">
        <v>46222</v>
      </c>
      <c r="J109" t="s">
        <v>284</v>
      </c>
    </row>
    <row r="110" spans="1:10" x14ac:dyDescent="0.25">
      <c r="A110" t="s">
        <v>212</v>
      </c>
      <c r="B110" s="1">
        <v>46184</v>
      </c>
      <c r="C110" t="s">
        <v>8</v>
      </c>
      <c r="D110" t="s">
        <v>163</v>
      </c>
      <c r="E110" t="s">
        <v>285</v>
      </c>
      <c r="F110" s="12">
        <v>354</v>
      </c>
      <c r="G110" s="12"/>
      <c r="H110" s="1">
        <v>46223</v>
      </c>
      <c r="J110" t="s">
        <v>286</v>
      </c>
    </row>
    <row r="111" spans="1:10" x14ac:dyDescent="0.25">
      <c r="A111" t="s">
        <v>287</v>
      </c>
      <c r="B111" s="1">
        <v>46227</v>
      </c>
      <c r="C111" t="s">
        <v>43</v>
      </c>
      <c r="D111" t="s">
        <v>17</v>
      </c>
      <c r="E111" t="s">
        <v>288</v>
      </c>
      <c r="F111" s="12">
        <v>417.72</v>
      </c>
      <c r="G111" s="12"/>
      <c r="H111" s="1">
        <v>46225</v>
      </c>
      <c r="J111" t="s">
        <v>289</v>
      </c>
    </row>
    <row r="112" spans="1:10" x14ac:dyDescent="0.25">
      <c r="A112" t="s">
        <v>290</v>
      </c>
      <c r="B112" s="1">
        <v>46181</v>
      </c>
      <c r="C112" t="s">
        <v>8</v>
      </c>
      <c r="D112" t="s">
        <v>156</v>
      </c>
      <c r="E112" t="s">
        <v>291</v>
      </c>
      <c r="F112" s="12">
        <v>90</v>
      </c>
      <c r="G112" s="12"/>
      <c r="H112" s="1">
        <v>46225</v>
      </c>
      <c r="J112" t="s">
        <v>292</v>
      </c>
    </row>
    <row r="113" spans="1:10" x14ac:dyDescent="0.25">
      <c r="A113" t="s">
        <v>212</v>
      </c>
      <c r="B113" s="1">
        <v>46183</v>
      </c>
      <c r="C113" t="s">
        <v>8</v>
      </c>
      <c r="D113" t="s">
        <v>793</v>
      </c>
      <c r="E113" t="s">
        <v>293</v>
      </c>
      <c r="F113" s="12">
        <v>309.97000000000003</v>
      </c>
      <c r="G113" s="12"/>
      <c r="H113" s="1">
        <v>46225</v>
      </c>
      <c r="I113" t="s">
        <v>840</v>
      </c>
      <c r="J113" t="s">
        <v>294</v>
      </c>
    </row>
    <row r="114" spans="1:10" x14ac:dyDescent="0.25">
      <c r="A114" t="s">
        <v>290</v>
      </c>
      <c r="B114" s="1">
        <v>46185</v>
      </c>
      <c r="C114" t="s">
        <v>8</v>
      </c>
      <c r="D114" t="s">
        <v>163</v>
      </c>
      <c r="E114" t="s">
        <v>295</v>
      </c>
      <c r="F114" s="12">
        <v>306.5</v>
      </c>
      <c r="G114" s="12"/>
      <c r="H114" s="1">
        <v>46225</v>
      </c>
      <c r="J114" t="s">
        <v>296</v>
      </c>
    </row>
    <row r="115" spans="1:10" x14ac:dyDescent="0.25">
      <c r="A115" s="18" t="s">
        <v>233</v>
      </c>
      <c r="B115" s="3">
        <v>46178</v>
      </c>
      <c r="C115" s="18" t="s">
        <v>8</v>
      </c>
      <c r="D115" s="18" t="s">
        <v>87</v>
      </c>
      <c r="E115" s="18" t="s">
        <v>267</v>
      </c>
      <c r="F115" s="20">
        <v>74</v>
      </c>
      <c r="G115" s="20"/>
      <c r="H115" s="19">
        <v>46220</v>
      </c>
      <c r="I115" s="18" t="s">
        <v>860</v>
      </c>
      <c r="J115" s="18" t="s">
        <v>268</v>
      </c>
    </row>
    <row r="116" spans="1:10" x14ac:dyDescent="0.25">
      <c r="A116" s="18" t="s">
        <v>121</v>
      </c>
      <c r="B116" s="3">
        <v>46204</v>
      </c>
      <c r="C116" s="18" t="s">
        <v>8</v>
      </c>
      <c r="D116" s="18" t="s">
        <v>87</v>
      </c>
      <c r="E116" s="18" t="s">
        <v>269</v>
      </c>
      <c r="F116" s="20">
        <v>87</v>
      </c>
      <c r="G116" s="20"/>
      <c r="H116" s="19">
        <v>46220</v>
      </c>
      <c r="I116" s="18" t="s">
        <v>859</v>
      </c>
      <c r="J116" s="18" t="s">
        <v>270</v>
      </c>
    </row>
    <row r="117" spans="1:10" x14ac:dyDescent="0.25">
      <c r="A117" t="s">
        <v>184</v>
      </c>
      <c r="B117" s="1">
        <v>46183</v>
      </c>
      <c r="C117" t="s">
        <v>8</v>
      </c>
      <c r="D117" t="s">
        <v>301</v>
      </c>
      <c r="E117" t="s">
        <v>302</v>
      </c>
      <c r="F117" s="12">
        <v>230.37</v>
      </c>
      <c r="G117" s="12"/>
      <c r="H117" s="1">
        <v>46226</v>
      </c>
      <c r="J117" t="s">
        <v>303</v>
      </c>
    </row>
    <row r="118" spans="1:10" x14ac:dyDescent="0.25">
      <c r="A118" t="s">
        <v>184</v>
      </c>
      <c r="B118" s="1">
        <v>46183</v>
      </c>
      <c r="C118" t="s">
        <v>8</v>
      </c>
      <c r="D118" t="s">
        <v>301</v>
      </c>
      <c r="E118" t="s">
        <v>304</v>
      </c>
      <c r="F118" s="12">
        <v>330.74</v>
      </c>
      <c r="G118" s="12"/>
      <c r="H118" s="1">
        <v>46226</v>
      </c>
      <c r="J118" t="s">
        <v>305</v>
      </c>
    </row>
    <row r="119" spans="1:10" x14ac:dyDescent="0.25">
      <c r="A119" t="s">
        <v>198</v>
      </c>
      <c r="B119" s="1">
        <v>46184</v>
      </c>
      <c r="C119" t="s">
        <v>8</v>
      </c>
      <c r="D119" t="s">
        <v>306</v>
      </c>
      <c r="E119" t="s">
        <v>307</v>
      </c>
      <c r="F119" s="12">
        <v>171</v>
      </c>
      <c r="G119" s="12"/>
      <c r="H119" s="1">
        <v>46227</v>
      </c>
      <c r="J119" t="s">
        <v>308</v>
      </c>
    </row>
    <row r="120" spans="1:10" x14ac:dyDescent="0.25">
      <c r="A120" t="s">
        <v>309</v>
      </c>
      <c r="B120" s="1">
        <v>46218</v>
      </c>
      <c r="C120" t="s">
        <v>8</v>
      </c>
      <c r="D120" t="s">
        <v>156</v>
      </c>
      <c r="E120" t="s">
        <v>310</v>
      </c>
      <c r="F120" s="12">
        <v>212</v>
      </c>
      <c r="G120" s="12"/>
      <c r="H120" s="1">
        <v>46227</v>
      </c>
      <c r="J120" t="s">
        <v>311</v>
      </c>
    </row>
    <row r="121" spans="1:10" x14ac:dyDescent="0.25">
      <c r="A121" t="s">
        <v>287</v>
      </c>
      <c r="B121" s="1">
        <v>46213</v>
      </c>
      <c r="C121" t="s">
        <v>8</v>
      </c>
      <c r="D121" t="s">
        <v>314</v>
      </c>
      <c r="E121" t="s">
        <v>315</v>
      </c>
      <c r="F121" s="12">
        <v>301.39999999999998</v>
      </c>
      <c r="G121" s="12"/>
      <c r="H121" s="1">
        <v>46227</v>
      </c>
      <c r="J121" t="s">
        <v>316</v>
      </c>
    </row>
    <row r="122" spans="1:10" x14ac:dyDescent="0.25">
      <c r="A122" t="s">
        <v>287</v>
      </c>
      <c r="B122" s="1">
        <v>46213</v>
      </c>
      <c r="C122" t="s">
        <v>8</v>
      </c>
      <c r="D122" t="s">
        <v>314</v>
      </c>
      <c r="E122" t="s">
        <v>317</v>
      </c>
      <c r="F122" s="12">
        <v>301.39999999999998</v>
      </c>
      <c r="G122" s="12"/>
      <c r="H122" s="1">
        <v>46227</v>
      </c>
      <c r="J122" t="s">
        <v>318</v>
      </c>
    </row>
    <row r="123" spans="1:10" x14ac:dyDescent="0.25">
      <c r="A123" t="s">
        <v>204</v>
      </c>
      <c r="B123" s="1">
        <v>46219</v>
      </c>
      <c r="C123" t="s">
        <v>8</v>
      </c>
      <c r="D123" t="s">
        <v>240</v>
      </c>
      <c r="E123" t="s">
        <v>319</v>
      </c>
      <c r="F123" s="12">
        <v>64</v>
      </c>
      <c r="G123" s="12"/>
      <c r="H123" s="1">
        <v>46227</v>
      </c>
      <c r="J123" t="s">
        <v>320</v>
      </c>
    </row>
    <row r="124" spans="1:10" x14ac:dyDescent="0.25">
      <c r="A124" t="s">
        <v>290</v>
      </c>
      <c r="B124" s="1">
        <v>46183</v>
      </c>
      <c r="C124" t="s">
        <v>8</v>
      </c>
      <c r="D124" t="s">
        <v>32</v>
      </c>
      <c r="E124" t="s">
        <v>321</v>
      </c>
      <c r="F124" s="12">
        <v>87</v>
      </c>
      <c r="G124" s="12"/>
      <c r="H124" s="1">
        <v>46227</v>
      </c>
      <c r="J124" t="s">
        <v>322</v>
      </c>
    </row>
    <row r="125" spans="1:10" x14ac:dyDescent="0.25">
      <c r="A125" t="s">
        <v>212</v>
      </c>
      <c r="B125" s="1">
        <v>46183</v>
      </c>
      <c r="C125" t="s">
        <v>8</v>
      </c>
      <c r="D125" t="s">
        <v>32</v>
      </c>
      <c r="E125" t="s">
        <v>323</v>
      </c>
      <c r="F125" s="12">
        <v>167</v>
      </c>
      <c r="G125" s="12"/>
      <c r="H125" s="1">
        <v>46227</v>
      </c>
      <c r="J125" t="s">
        <v>324</v>
      </c>
    </row>
    <row r="126" spans="1:10" x14ac:dyDescent="0.25">
      <c r="A126" t="s">
        <v>309</v>
      </c>
      <c r="B126" s="1">
        <v>46218</v>
      </c>
      <c r="C126" t="s">
        <v>8</v>
      </c>
      <c r="D126" t="s">
        <v>32</v>
      </c>
      <c r="E126" t="s">
        <v>325</v>
      </c>
      <c r="F126" s="12">
        <v>174</v>
      </c>
      <c r="G126" s="12"/>
      <c r="H126" s="1">
        <v>46227</v>
      </c>
      <c r="J126" t="s">
        <v>326</v>
      </c>
    </row>
    <row r="127" spans="1:10" x14ac:dyDescent="0.25">
      <c r="A127" s="2" t="s">
        <v>106</v>
      </c>
      <c r="B127" s="3">
        <v>46245</v>
      </c>
      <c r="C127" s="2" t="s">
        <v>8</v>
      </c>
      <c r="D127" s="2" t="s">
        <v>87</v>
      </c>
      <c r="E127" s="2" t="s">
        <v>775</v>
      </c>
      <c r="F127" s="11">
        <v>63</v>
      </c>
      <c r="G127" s="11"/>
      <c r="H127" s="3">
        <v>46245</v>
      </c>
      <c r="I127" s="2" t="s">
        <v>818</v>
      </c>
      <c r="J127" s="2" t="s">
        <v>776</v>
      </c>
    </row>
    <row r="128" spans="1:10" x14ac:dyDescent="0.25">
      <c r="A128" t="s">
        <v>233</v>
      </c>
      <c r="B128" s="1">
        <v>46233</v>
      </c>
      <c r="C128" t="s">
        <v>8</v>
      </c>
      <c r="D128" t="s">
        <v>237</v>
      </c>
      <c r="E128" t="s">
        <v>329</v>
      </c>
      <c r="F128" s="12">
        <v>40</v>
      </c>
      <c r="G128" s="12"/>
      <c r="H128" s="1">
        <v>46227</v>
      </c>
      <c r="I128" t="s">
        <v>845</v>
      </c>
      <c r="J128" t="s">
        <v>330</v>
      </c>
    </row>
    <row r="129" spans="1:10" x14ac:dyDescent="0.25">
      <c r="A129" s="4" t="s">
        <v>159</v>
      </c>
      <c r="B129" s="5">
        <v>46178</v>
      </c>
      <c r="C129" s="4" t="s">
        <v>8</v>
      </c>
      <c r="D129" s="4" t="s">
        <v>228</v>
      </c>
      <c r="E129" s="4" t="s">
        <v>331</v>
      </c>
      <c r="F129" s="13">
        <v>60</v>
      </c>
      <c r="G129" s="13"/>
      <c r="H129" s="5">
        <v>46227</v>
      </c>
      <c r="I129" s="4" t="s">
        <v>697</v>
      </c>
      <c r="J129" s="4" t="s">
        <v>332</v>
      </c>
    </row>
    <row r="130" spans="1:10" x14ac:dyDescent="0.25">
      <c r="A130" s="4" t="s">
        <v>212</v>
      </c>
      <c r="B130" s="5">
        <v>46178</v>
      </c>
      <c r="C130" s="4" t="s">
        <v>8</v>
      </c>
      <c r="D130" s="4" t="s">
        <v>228</v>
      </c>
      <c r="E130" s="4" t="s">
        <v>333</v>
      </c>
      <c r="F130" s="13">
        <v>60</v>
      </c>
      <c r="G130" s="13"/>
      <c r="H130" s="5">
        <v>46227</v>
      </c>
      <c r="I130" s="4" t="s">
        <v>697</v>
      </c>
      <c r="J130" s="4" t="s">
        <v>334</v>
      </c>
    </row>
    <row r="131" spans="1:10" x14ac:dyDescent="0.25">
      <c r="A131" t="s">
        <v>204</v>
      </c>
      <c r="B131" s="1">
        <v>46176</v>
      </c>
      <c r="C131" t="s">
        <v>8</v>
      </c>
      <c r="D131" t="s">
        <v>28</v>
      </c>
      <c r="E131" t="s">
        <v>335</v>
      </c>
      <c r="F131" s="12">
        <v>340</v>
      </c>
      <c r="G131" s="12"/>
      <c r="H131" s="1">
        <v>46228</v>
      </c>
      <c r="J131" t="s">
        <v>336</v>
      </c>
    </row>
    <row r="132" spans="1:10" x14ac:dyDescent="0.25">
      <c r="A132" t="s">
        <v>204</v>
      </c>
      <c r="B132" s="1">
        <v>46175</v>
      </c>
      <c r="C132" t="s">
        <v>8</v>
      </c>
      <c r="D132" t="s">
        <v>9</v>
      </c>
      <c r="E132" t="s">
        <v>337</v>
      </c>
      <c r="F132" s="12">
        <v>157.5</v>
      </c>
      <c r="G132" s="12"/>
      <c r="H132" s="1">
        <v>46228</v>
      </c>
      <c r="J132" t="s">
        <v>338</v>
      </c>
    </row>
    <row r="133" spans="1:10" x14ac:dyDescent="0.25">
      <c r="A133" t="s">
        <v>233</v>
      </c>
      <c r="B133" s="1">
        <v>46177</v>
      </c>
      <c r="C133" t="s">
        <v>8</v>
      </c>
      <c r="D133" t="s">
        <v>339</v>
      </c>
      <c r="E133" t="s">
        <v>340</v>
      </c>
      <c r="F133" s="12">
        <v>144</v>
      </c>
      <c r="G133" s="12"/>
      <c r="H133" s="1">
        <v>46229</v>
      </c>
      <c r="J133" t="s">
        <v>341</v>
      </c>
    </row>
    <row r="134" spans="1:10" x14ac:dyDescent="0.25">
      <c r="A134" t="s">
        <v>204</v>
      </c>
      <c r="B134" s="1">
        <v>46175</v>
      </c>
      <c r="C134" t="s">
        <v>8</v>
      </c>
      <c r="D134" t="s">
        <v>276</v>
      </c>
      <c r="E134" t="s">
        <v>342</v>
      </c>
      <c r="F134" s="12">
        <v>226.6</v>
      </c>
      <c r="G134" s="12"/>
      <c r="H134" s="1">
        <v>46230</v>
      </c>
      <c r="J134" t="s">
        <v>343</v>
      </c>
    </row>
    <row r="135" spans="1:10" x14ac:dyDescent="0.25">
      <c r="A135" t="s">
        <v>233</v>
      </c>
      <c r="B135" s="1">
        <v>46177</v>
      </c>
      <c r="C135" t="s">
        <v>8</v>
      </c>
      <c r="D135" t="s">
        <v>9</v>
      </c>
      <c r="E135" t="s">
        <v>344</v>
      </c>
      <c r="F135" s="12">
        <v>262.5</v>
      </c>
      <c r="G135" s="12"/>
      <c r="H135" s="1">
        <v>46230</v>
      </c>
      <c r="J135" t="s">
        <v>345</v>
      </c>
    </row>
    <row r="136" spans="1:10" x14ac:dyDescent="0.25">
      <c r="A136" s="2" t="s">
        <v>147</v>
      </c>
      <c r="B136" s="3">
        <v>46245</v>
      </c>
      <c r="C136" s="2" t="s">
        <v>8</v>
      </c>
      <c r="D136" s="2" t="s">
        <v>87</v>
      </c>
      <c r="E136" s="2" t="s">
        <v>777</v>
      </c>
      <c r="F136" s="11">
        <v>68</v>
      </c>
      <c r="G136" s="11"/>
      <c r="H136" s="3">
        <v>46245</v>
      </c>
      <c r="I136" s="2" t="s">
        <v>861</v>
      </c>
      <c r="J136" s="2" t="s">
        <v>778</v>
      </c>
    </row>
    <row r="137" spans="1:10" x14ac:dyDescent="0.25">
      <c r="A137" s="4" t="s">
        <v>348</v>
      </c>
      <c r="B137" s="5">
        <v>46233</v>
      </c>
      <c r="C137" s="4" t="s">
        <v>43</v>
      </c>
      <c r="D137" s="4" t="s">
        <v>349</v>
      </c>
      <c r="E137" s="4" t="s">
        <v>350</v>
      </c>
      <c r="F137" s="13">
        <v>520</v>
      </c>
      <c r="G137" s="13"/>
      <c r="H137" s="5">
        <v>46232</v>
      </c>
      <c r="I137" s="4" t="s">
        <v>697</v>
      </c>
      <c r="J137" s="4" t="s">
        <v>351</v>
      </c>
    </row>
    <row r="138" spans="1:10" x14ac:dyDescent="0.25">
      <c r="A138" s="4" t="s">
        <v>290</v>
      </c>
      <c r="B138" s="5">
        <v>46181</v>
      </c>
      <c r="C138" s="4" t="s">
        <v>43</v>
      </c>
      <c r="D138" s="4" t="s">
        <v>339</v>
      </c>
      <c r="E138" s="4" t="s">
        <v>352</v>
      </c>
      <c r="F138" s="13"/>
      <c r="G138" s="13">
        <v>120</v>
      </c>
      <c r="H138" s="5">
        <v>46232</v>
      </c>
      <c r="I138" s="4" t="s">
        <v>697</v>
      </c>
      <c r="J138" s="4" t="s">
        <v>353</v>
      </c>
    </row>
    <row r="139" spans="1:10" x14ac:dyDescent="0.25">
      <c r="A139" t="s">
        <v>287</v>
      </c>
      <c r="B139" s="1">
        <v>46227</v>
      </c>
      <c r="C139" t="s">
        <v>43</v>
      </c>
      <c r="D139" t="s">
        <v>17</v>
      </c>
      <c r="E139" t="s">
        <v>355</v>
      </c>
      <c r="F139" s="12">
        <v>417.72</v>
      </c>
      <c r="G139" s="12"/>
      <c r="H139" s="1">
        <v>46232</v>
      </c>
      <c r="J139" t="s">
        <v>289</v>
      </c>
    </row>
    <row r="140" spans="1:10" x14ac:dyDescent="0.25">
      <c r="A140" t="s">
        <v>198</v>
      </c>
      <c r="B140" s="1">
        <v>46181</v>
      </c>
      <c r="C140" t="s">
        <v>8</v>
      </c>
      <c r="D140" t="s">
        <v>356</v>
      </c>
      <c r="E140" t="s">
        <v>357</v>
      </c>
      <c r="F140" s="12">
        <v>170.52</v>
      </c>
      <c r="G140" s="12"/>
      <c r="H140" s="1">
        <v>46232</v>
      </c>
      <c r="J140" t="s">
        <v>358</v>
      </c>
    </row>
    <row r="141" spans="1:10" x14ac:dyDescent="0.25">
      <c r="A141" t="s">
        <v>290</v>
      </c>
      <c r="B141" s="1">
        <v>46181</v>
      </c>
      <c r="C141" t="s">
        <v>8</v>
      </c>
      <c r="D141" t="s">
        <v>237</v>
      </c>
      <c r="E141" t="s">
        <v>359</v>
      </c>
      <c r="F141" s="12">
        <v>69</v>
      </c>
      <c r="G141" s="12"/>
      <c r="H141" s="1">
        <v>46232</v>
      </c>
      <c r="I141" t="s">
        <v>848</v>
      </c>
      <c r="J141" t="s">
        <v>360</v>
      </c>
    </row>
    <row r="142" spans="1:10" x14ac:dyDescent="0.25">
      <c r="A142" s="4" t="s">
        <v>180</v>
      </c>
      <c r="B142" s="5">
        <v>46233</v>
      </c>
      <c r="C142" s="4" t="s">
        <v>43</v>
      </c>
      <c r="D142" s="4" t="s">
        <v>361</v>
      </c>
      <c r="E142" s="4" t="s">
        <v>362</v>
      </c>
      <c r="F142" s="13"/>
      <c r="G142" s="13">
        <v>651</v>
      </c>
      <c r="H142" s="5">
        <v>46233</v>
      </c>
      <c r="I142" s="4" t="s">
        <v>697</v>
      </c>
      <c r="J142" s="4" t="s">
        <v>363</v>
      </c>
    </row>
    <row r="143" spans="1:10" x14ac:dyDescent="0.25">
      <c r="A143" s="4" t="s">
        <v>180</v>
      </c>
      <c r="B143" s="5">
        <v>46233</v>
      </c>
      <c r="C143" s="4" t="s">
        <v>43</v>
      </c>
      <c r="D143" s="4" t="s">
        <v>361</v>
      </c>
      <c r="E143" s="4" t="s">
        <v>364</v>
      </c>
      <c r="F143" s="13">
        <v>15</v>
      </c>
      <c r="G143" s="13"/>
      <c r="H143" s="5">
        <v>46233</v>
      </c>
      <c r="I143" s="4" t="s">
        <v>697</v>
      </c>
      <c r="J143" s="4" t="s">
        <v>365</v>
      </c>
    </row>
    <row r="144" spans="1:10" x14ac:dyDescent="0.25">
      <c r="A144" t="s">
        <v>366</v>
      </c>
      <c r="B144" s="1">
        <v>46209</v>
      </c>
      <c r="C144" t="s">
        <v>43</v>
      </c>
      <c r="D144" t="s">
        <v>17</v>
      </c>
      <c r="E144" t="s">
        <v>367</v>
      </c>
      <c r="F144" s="12">
        <v>86.14</v>
      </c>
      <c r="G144" s="12"/>
      <c r="H144" s="1">
        <v>46233</v>
      </c>
      <c r="I144" t="s">
        <v>873</v>
      </c>
      <c r="J144" t="s">
        <v>368</v>
      </c>
    </row>
    <row r="145" spans="1:10" x14ac:dyDescent="0.25">
      <c r="A145" t="s">
        <v>233</v>
      </c>
      <c r="B145" s="1">
        <v>46185</v>
      </c>
      <c r="C145" t="s">
        <v>8</v>
      </c>
      <c r="D145" t="s">
        <v>28</v>
      </c>
      <c r="E145" t="s">
        <v>369</v>
      </c>
      <c r="F145" s="12">
        <v>70</v>
      </c>
      <c r="G145" s="12"/>
      <c r="H145" s="1">
        <v>46233</v>
      </c>
      <c r="J145" t="s">
        <v>370</v>
      </c>
    </row>
    <row r="146" spans="1:10" x14ac:dyDescent="0.25">
      <c r="A146" s="4" t="s">
        <v>366</v>
      </c>
      <c r="B146" s="5">
        <v>46234</v>
      </c>
      <c r="C146" s="4" t="s">
        <v>43</v>
      </c>
      <c r="D146" s="4" t="s">
        <v>371</v>
      </c>
      <c r="E146" s="4" t="s">
        <v>372</v>
      </c>
      <c r="F146" s="13">
        <v>1510.4</v>
      </c>
      <c r="G146" s="13"/>
      <c r="H146" s="5">
        <v>46234</v>
      </c>
      <c r="I146" s="4" t="s">
        <v>697</v>
      </c>
      <c r="J146" s="4" t="s">
        <v>373</v>
      </c>
    </row>
    <row r="147" spans="1:10" x14ac:dyDescent="0.25">
      <c r="A147" s="4" t="s">
        <v>366</v>
      </c>
      <c r="B147" s="5">
        <v>46233</v>
      </c>
      <c r="C147" s="4" t="s">
        <v>43</v>
      </c>
      <c r="D147" s="4" t="s">
        <v>374</v>
      </c>
      <c r="E147" s="4" t="s">
        <v>375</v>
      </c>
      <c r="F147" s="13"/>
      <c r="G147" s="13">
        <v>200</v>
      </c>
      <c r="H147" s="5">
        <v>46234</v>
      </c>
      <c r="I147" s="4" t="s">
        <v>697</v>
      </c>
      <c r="J147" s="4" t="s">
        <v>376</v>
      </c>
    </row>
    <row r="148" spans="1:10" x14ac:dyDescent="0.25">
      <c r="A148" s="4" t="s">
        <v>366</v>
      </c>
      <c r="B148" s="5">
        <v>46209</v>
      </c>
      <c r="C148" s="4" t="s">
        <v>43</v>
      </c>
      <c r="D148" s="4" t="s">
        <v>377</v>
      </c>
      <c r="E148" s="4" t="s">
        <v>378</v>
      </c>
      <c r="F148" s="13"/>
      <c r="G148" s="13">
        <v>520.38</v>
      </c>
      <c r="H148" s="5">
        <v>46234</v>
      </c>
      <c r="I148" s="4" t="s">
        <v>697</v>
      </c>
      <c r="J148" s="4" t="s">
        <v>379</v>
      </c>
    </row>
    <row r="149" spans="1:10" x14ac:dyDescent="0.25">
      <c r="A149" t="s">
        <v>204</v>
      </c>
      <c r="B149" s="1">
        <v>46176</v>
      </c>
      <c r="C149" t="s">
        <v>8</v>
      </c>
      <c r="D149" t="s">
        <v>39</v>
      </c>
      <c r="E149" t="s">
        <v>380</v>
      </c>
      <c r="F149" s="12">
        <v>261.48</v>
      </c>
      <c r="G149" s="12"/>
      <c r="H149" s="1">
        <v>46234</v>
      </c>
      <c r="J149" t="s">
        <v>381</v>
      </c>
    </row>
    <row r="150" spans="1:10" x14ac:dyDescent="0.25">
      <c r="A150" s="18" t="s">
        <v>19</v>
      </c>
      <c r="B150" s="3">
        <v>46116</v>
      </c>
      <c r="C150" s="18" t="s">
        <v>8</v>
      </c>
      <c r="D150" s="18" t="s">
        <v>17</v>
      </c>
      <c r="E150" s="18" t="s">
        <v>20</v>
      </c>
      <c r="F150" s="20">
        <v>607.70000000000005</v>
      </c>
      <c r="G150" s="20"/>
      <c r="H150" s="19">
        <v>46140</v>
      </c>
      <c r="I150" s="18" t="s">
        <v>865</v>
      </c>
      <c r="J150" s="18" t="s">
        <v>21</v>
      </c>
    </row>
    <row r="151" spans="1:10" x14ac:dyDescent="0.25">
      <c r="A151" t="s">
        <v>212</v>
      </c>
      <c r="B151" s="1">
        <v>46183</v>
      </c>
      <c r="C151" t="s">
        <v>8</v>
      </c>
      <c r="D151" t="s">
        <v>112</v>
      </c>
      <c r="E151" t="s">
        <v>384</v>
      </c>
      <c r="F151" s="12">
        <v>494.5</v>
      </c>
      <c r="G151" s="12"/>
      <c r="H151" s="1">
        <v>46234</v>
      </c>
      <c r="I151" t="s">
        <v>876</v>
      </c>
      <c r="J151" t="s">
        <v>385</v>
      </c>
    </row>
    <row r="152" spans="1:10" x14ac:dyDescent="0.25">
      <c r="A152" t="s">
        <v>309</v>
      </c>
      <c r="B152" s="1">
        <v>46218</v>
      </c>
      <c r="C152" t="s">
        <v>8</v>
      </c>
      <c r="D152" t="s">
        <v>386</v>
      </c>
      <c r="E152" t="s">
        <v>387</v>
      </c>
      <c r="F152" s="12">
        <v>185</v>
      </c>
      <c r="G152" s="12"/>
      <c r="H152" s="1">
        <v>46234</v>
      </c>
      <c r="J152" t="s">
        <v>388</v>
      </c>
    </row>
    <row r="153" spans="1:10" x14ac:dyDescent="0.25">
      <c r="A153" t="s">
        <v>309</v>
      </c>
      <c r="B153" s="1">
        <v>46218</v>
      </c>
      <c r="C153" t="s">
        <v>8</v>
      </c>
      <c r="D153" t="s">
        <v>386</v>
      </c>
      <c r="E153" t="s">
        <v>389</v>
      </c>
      <c r="F153" s="12">
        <v>185</v>
      </c>
      <c r="G153" s="12"/>
      <c r="H153" s="1">
        <v>46234</v>
      </c>
      <c r="J153" t="s">
        <v>388</v>
      </c>
    </row>
    <row r="154" spans="1:10" x14ac:dyDescent="0.25">
      <c r="A154" t="s">
        <v>309</v>
      </c>
      <c r="B154" s="1">
        <v>46218</v>
      </c>
      <c r="C154" t="s">
        <v>8</v>
      </c>
      <c r="D154" t="s">
        <v>9</v>
      </c>
      <c r="E154" t="s">
        <v>390</v>
      </c>
      <c r="F154" s="12">
        <v>157.5</v>
      </c>
      <c r="G154" s="12"/>
      <c r="H154" s="1">
        <v>46234</v>
      </c>
      <c r="J154" t="s">
        <v>391</v>
      </c>
    </row>
    <row r="155" spans="1:10" x14ac:dyDescent="0.25">
      <c r="A155" s="4" t="s">
        <v>159</v>
      </c>
      <c r="B155" s="5">
        <v>46178</v>
      </c>
      <c r="C155" s="4" t="s">
        <v>8</v>
      </c>
      <c r="D155" s="4" t="s">
        <v>392</v>
      </c>
      <c r="E155" s="4" t="s">
        <v>393</v>
      </c>
      <c r="F155" s="13">
        <v>400</v>
      </c>
      <c r="G155" s="13"/>
      <c r="H155" s="5">
        <v>46234</v>
      </c>
      <c r="I155" s="4" t="s">
        <v>697</v>
      </c>
      <c r="J155" s="4" t="s">
        <v>394</v>
      </c>
    </row>
    <row r="156" spans="1:10" x14ac:dyDescent="0.25">
      <c r="A156" t="s">
        <v>159</v>
      </c>
      <c r="B156" s="1">
        <v>46178</v>
      </c>
      <c r="C156" t="s">
        <v>8</v>
      </c>
      <c r="D156" t="s">
        <v>87</v>
      </c>
      <c r="E156" t="s">
        <v>395</v>
      </c>
      <c r="F156" s="12">
        <v>87</v>
      </c>
      <c r="G156" s="12"/>
      <c r="H156" s="1">
        <v>46234</v>
      </c>
      <c r="J156" t="s">
        <v>396</v>
      </c>
    </row>
    <row r="157" spans="1:10" x14ac:dyDescent="0.25">
      <c r="A157" t="s">
        <v>212</v>
      </c>
      <c r="B157" s="1">
        <v>46178</v>
      </c>
      <c r="C157" t="s">
        <v>8</v>
      </c>
      <c r="D157" t="s">
        <v>87</v>
      </c>
      <c r="E157" t="s">
        <v>397</v>
      </c>
      <c r="F157" s="12">
        <v>137</v>
      </c>
      <c r="G157" s="12"/>
      <c r="H157" s="1">
        <v>46234</v>
      </c>
      <c r="J157" t="s">
        <v>398</v>
      </c>
    </row>
    <row r="158" spans="1:10" x14ac:dyDescent="0.25">
      <c r="A158" s="18" t="s">
        <v>70</v>
      </c>
      <c r="B158" s="3">
        <v>46149</v>
      </c>
      <c r="C158" s="18" t="s">
        <v>8</v>
      </c>
      <c r="D158" s="18" t="s">
        <v>17</v>
      </c>
      <c r="E158" s="18" t="s">
        <v>71</v>
      </c>
      <c r="F158" s="20">
        <v>65.680000000000007</v>
      </c>
      <c r="G158" s="20"/>
      <c r="H158" s="19">
        <v>46164</v>
      </c>
      <c r="I158" s="18" t="s">
        <v>868</v>
      </c>
      <c r="J158" s="18" t="s">
        <v>72</v>
      </c>
    </row>
    <row r="159" spans="1:10" x14ac:dyDescent="0.25">
      <c r="A159" t="s">
        <v>309</v>
      </c>
      <c r="B159" s="1">
        <v>46218</v>
      </c>
      <c r="C159" t="s">
        <v>8</v>
      </c>
      <c r="D159" t="s">
        <v>237</v>
      </c>
      <c r="E159" t="s">
        <v>401</v>
      </c>
      <c r="F159" s="12">
        <v>40</v>
      </c>
      <c r="G159" s="12"/>
      <c r="H159" s="1">
        <v>46234</v>
      </c>
      <c r="I159" t="s">
        <v>846</v>
      </c>
      <c r="J159" t="s">
        <v>402</v>
      </c>
    </row>
    <row r="160" spans="1:10" x14ac:dyDescent="0.25">
      <c r="A160" t="s">
        <v>212</v>
      </c>
      <c r="B160" s="1">
        <v>46178</v>
      </c>
      <c r="C160" t="s">
        <v>8</v>
      </c>
      <c r="D160" t="s">
        <v>9</v>
      </c>
      <c r="E160" t="s">
        <v>405</v>
      </c>
      <c r="F160" s="12">
        <v>227.5</v>
      </c>
      <c r="G160" s="12"/>
      <c r="H160" s="1">
        <v>46235</v>
      </c>
      <c r="J160" t="s">
        <v>406</v>
      </c>
    </row>
    <row r="161" spans="1:10" x14ac:dyDescent="0.25">
      <c r="A161" t="s">
        <v>212</v>
      </c>
      <c r="B161" s="1">
        <v>46178</v>
      </c>
      <c r="C161" t="s">
        <v>8</v>
      </c>
      <c r="D161" t="s">
        <v>407</v>
      </c>
      <c r="E161" t="s">
        <v>408</v>
      </c>
      <c r="F161" s="12">
        <v>2024</v>
      </c>
      <c r="G161" s="12"/>
      <c r="H161" s="1">
        <v>46235</v>
      </c>
      <c r="J161" t="s">
        <v>409</v>
      </c>
    </row>
    <row r="162" spans="1:10" x14ac:dyDescent="0.25">
      <c r="A162" t="s">
        <v>159</v>
      </c>
      <c r="B162" s="1">
        <v>46178</v>
      </c>
      <c r="C162" t="s">
        <v>43</v>
      </c>
      <c r="D162" t="s">
        <v>9</v>
      </c>
      <c r="E162" t="s">
        <v>410</v>
      </c>
      <c r="F162" s="12">
        <v>227.5</v>
      </c>
      <c r="G162" s="12"/>
      <c r="H162" s="1">
        <v>46236</v>
      </c>
      <c r="I162" t="s">
        <v>789</v>
      </c>
      <c r="J162" t="s">
        <v>411</v>
      </c>
    </row>
    <row r="163" spans="1:10" x14ac:dyDescent="0.25">
      <c r="A163" s="18" t="s">
        <v>70</v>
      </c>
      <c r="B163" s="3">
        <v>46153</v>
      </c>
      <c r="C163" s="18" t="s">
        <v>8</v>
      </c>
      <c r="D163" s="18" t="s">
        <v>17</v>
      </c>
      <c r="E163" s="18" t="s">
        <v>92</v>
      </c>
      <c r="F163" s="20">
        <v>51.92</v>
      </c>
      <c r="G163" s="20"/>
      <c r="H163" s="19">
        <v>46171</v>
      </c>
      <c r="I163" s="18" t="s">
        <v>868</v>
      </c>
      <c r="J163" s="18" t="s">
        <v>93</v>
      </c>
    </row>
    <row r="164" spans="1:10" x14ac:dyDescent="0.25">
      <c r="A164" t="s">
        <v>198</v>
      </c>
      <c r="B164" s="1">
        <v>46184</v>
      </c>
      <c r="C164" t="s">
        <v>43</v>
      </c>
      <c r="D164" t="s">
        <v>793</v>
      </c>
      <c r="E164" t="s">
        <v>414</v>
      </c>
      <c r="F164" s="12">
        <v>66.08</v>
      </c>
      <c r="G164" s="12"/>
      <c r="H164" s="1">
        <v>46237</v>
      </c>
      <c r="I164" t="s">
        <v>837</v>
      </c>
      <c r="J164" t="s">
        <v>200</v>
      </c>
    </row>
    <row r="165" spans="1:10" x14ac:dyDescent="0.25">
      <c r="A165" t="s">
        <v>348</v>
      </c>
      <c r="B165" s="1">
        <v>46203</v>
      </c>
      <c r="C165" t="s">
        <v>43</v>
      </c>
      <c r="D165" t="s">
        <v>273</v>
      </c>
      <c r="E165" t="s">
        <v>415</v>
      </c>
      <c r="F165" s="12">
        <v>448.8</v>
      </c>
      <c r="G165" s="12"/>
      <c r="H165" s="1">
        <v>46237</v>
      </c>
      <c r="I165" t="s">
        <v>700</v>
      </c>
      <c r="J165" t="s">
        <v>416</v>
      </c>
    </row>
    <row r="166" spans="1:10" x14ac:dyDescent="0.25">
      <c r="A166" s="4" t="s">
        <v>180</v>
      </c>
      <c r="B166" s="5">
        <v>46237</v>
      </c>
      <c r="C166" s="4" t="s">
        <v>43</v>
      </c>
      <c r="D166" s="4" t="s">
        <v>417</v>
      </c>
      <c r="E166" s="4" t="s">
        <v>418</v>
      </c>
      <c r="F166" s="13"/>
      <c r="G166" s="13">
        <v>500</v>
      </c>
      <c r="H166" s="5">
        <v>46237</v>
      </c>
      <c r="I166" s="4" t="s">
        <v>697</v>
      </c>
      <c r="J166" s="4" t="s">
        <v>419</v>
      </c>
    </row>
    <row r="167" spans="1:10" x14ac:dyDescent="0.25">
      <c r="A167" s="4" t="s">
        <v>180</v>
      </c>
      <c r="B167" s="5">
        <v>46237</v>
      </c>
      <c r="C167" s="4" t="s">
        <v>43</v>
      </c>
      <c r="D167" s="4" t="s">
        <v>417</v>
      </c>
      <c r="E167" s="4" t="s">
        <v>420</v>
      </c>
      <c r="F167" s="13"/>
      <c r="G167" s="13">
        <v>500</v>
      </c>
      <c r="H167" s="5">
        <v>46237</v>
      </c>
      <c r="I167" s="4" t="s">
        <v>697</v>
      </c>
      <c r="J167" s="4" t="s">
        <v>419</v>
      </c>
    </row>
    <row r="168" spans="1:10" x14ac:dyDescent="0.25">
      <c r="A168" s="4" t="s">
        <v>180</v>
      </c>
      <c r="B168" s="5">
        <v>46237</v>
      </c>
      <c r="C168" s="4" t="s">
        <v>43</v>
      </c>
      <c r="D168" s="4" t="s">
        <v>417</v>
      </c>
      <c r="E168" s="4" t="s">
        <v>421</v>
      </c>
      <c r="F168" s="13"/>
      <c r="G168" s="13">
        <v>605.9</v>
      </c>
      <c r="H168" s="5">
        <v>46237</v>
      </c>
      <c r="I168" s="4" t="s">
        <v>697</v>
      </c>
      <c r="J168" s="4" t="s">
        <v>422</v>
      </c>
    </row>
    <row r="169" spans="1:10" x14ac:dyDescent="0.25">
      <c r="A169" s="4" t="s">
        <v>180</v>
      </c>
      <c r="B169" s="5">
        <v>46237</v>
      </c>
      <c r="C169" s="4" t="s">
        <v>43</v>
      </c>
      <c r="D169" s="4" t="s">
        <v>417</v>
      </c>
      <c r="E169" s="4" t="s">
        <v>423</v>
      </c>
      <c r="F169" s="13"/>
      <c r="G169" s="13">
        <v>605.89</v>
      </c>
      <c r="H169" s="5">
        <v>46237</v>
      </c>
      <c r="I169" s="4" t="s">
        <v>697</v>
      </c>
      <c r="J169" s="4" t="s">
        <v>422</v>
      </c>
    </row>
    <row r="170" spans="1:10" x14ac:dyDescent="0.25">
      <c r="A170" s="4" t="s">
        <v>366</v>
      </c>
      <c r="B170" s="5">
        <v>46237</v>
      </c>
      <c r="C170" s="4" t="s">
        <v>43</v>
      </c>
      <c r="D170" s="4" t="s">
        <v>424</v>
      </c>
      <c r="E170" s="4" t="s">
        <v>425</v>
      </c>
      <c r="F170" s="13"/>
      <c r="G170" s="13">
        <v>80</v>
      </c>
      <c r="H170" s="5">
        <v>46237</v>
      </c>
      <c r="I170" s="4" t="s">
        <v>697</v>
      </c>
      <c r="J170" s="4" t="s">
        <v>426</v>
      </c>
    </row>
    <row r="171" spans="1:10" x14ac:dyDescent="0.25">
      <c r="A171" s="4" t="s">
        <v>366</v>
      </c>
      <c r="B171" s="5">
        <v>46237</v>
      </c>
      <c r="C171" s="4" t="s">
        <v>43</v>
      </c>
      <c r="D171" s="4" t="s">
        <v>427</v>
      </c>
      <c r="E171" s="4" t="s">
        <v>428</v>
      </c>
      <c r="F171" s="13"/>
      <c r="G171" s="13">
        <v>320</v>
      </c>
      <c r="H171" s="5">
        <v>46237</v>
      </c>
      <c r="I171" s="4" t="s">
        <v>697</v>
      </c>
      <c r="J171" s="4" t="s">
        <v>429</v>
      </c>
    </row>
    <row r="172" spans="1:10" x14ac:dyDescent="0.25">
      <c r="A172" s="4" t="s">
        <v>180</v>
      </c>
      <c r="B172" s="5">
        <v>46238</v>
      </c>
      <c r="C172" s="4" t="s">
        <v>43</v>
      </c>
      <c r="D172" s="4" t="s">
        <v>430</v>
      </c>
      <c r="E172" s="4" t="s">
        <v>431</v>
      </c>
      <c r="F172" s="13"/>
      <c r="G172" s="13">
        <v>20</v>
      </c>
      <c r="H172" s="5">
        <v>46238</v>
      </c>
      <c r="I172" s="4" t="s">
        <v>697</v>
      </c>
      <c r="J172" s="4" t="s">
        <v>432</v>
      </c>
    </row>
    <row r="173" spans="1:10" x14ac:dyDescent="0.25">
      <c r="A173" s="4" t="s">
        <v>180</v>
      </c>
      <c r="B173" s="5">
        <v>46238</v>
      </c>
      <c r="C173" s="4" t="s">
        <v>43</v>
      </c>
      <c r="D173" s="4" t="s">
        <v>433</v>
      </c>
      <c r="E173" s="4" t="s">
        <v>434</v>
      </c>
      <c r="F173" s="13">
        <v>154.36000000000001</v>
      </c>
      <c r="G173" s="13"/>
      <c r="H173" s="5">
        <v>46238</v>
      </c>
      <c r="I173" s="4" t="s">
        <v>697</v>
      </c>
      <c r="J173" s="4" t="s">
        <v>435</v>
      </c>
    </row>
    <row r="174" spans="1:10" x14ac:dyDescent="0.25">
      <c r="A174" s="4" t="s">
        <v>180</v>
      </c>
      <c r="B174" s="5">
        <v>46238</v>
      </c>
      <c r="C174" s="4" t="s">
        <v>43</v>
      </c>
      <c r="D174" s="4" t="s">
        <v>433</v>
      </c>
      <c r="E174" s="4" t="s">
        <v>436</v>
      </c>
      <c r="F174" s="13">
        <v>299.64</v>
      </c>
      <c r="G174" s="13"/>
      <c r="H174" s="5">
        <v>46238</v>
      </c>
      <c r="I174" s="4" t="s">
        <v>697</v>
      </c>
      <c r="J174" s="4" t="s">
        <v>435</v>
      </c>
    </row>
    <row r="175" spans="1:10" x14ac:dyDescent="0.25">
      <c r="A175" s="4" t="s">
        <v>180</v>
      </c>
      <c r="B175" s="5">
        <v>46238</v>
      </c>
      <c r="C175" s="4" t="s">
        <v>43</v>
      </c>
      <c r="D175" s="4" t="s">
        <v>437</v>
      </c>
      <c r="E175" s="4" t="s">
        <v>438</v>
      </c>
      <c r="F175" s="13">
        <v>545</v>
      </c>
      <c r="G175" s="13"/>
      <c r="H175" s="5">
        <v>46238</v>
      </c>
      <c r="I175" s="4" t="s">
        <v>697</v>
      </c>
      <c r="J175" s="4" t="s">
        <v>439</v>
      </c>
    </row>
    <row r="176" spans="1:10" x14ac:dyDescent="0.25">
      <c r="A176" s="4" t="s">
        <v>180</v>
      </c>
      <c r="B176" s="5">
        <v>46238</v>
      </c>
      <c r="C176" s="4" t="s">
        <v>43</v>
      </c>
      <c r="D176" s="4" t="s">
        <v>437</v>
      </c>
      <c r="E176" s="4" t="s">
        <v>440</v>
      </c>
      <c r="F176" s="13">
        <v>95</v>
      </c>
      <c r="G176" s="13"/>
      <c r="H176" s="5">
        <v>46238</v>
      </c>
      <c r="I176" s="4" t="s">
        <v>697</v>
      </c>
      <c r="J176" s="4" t="s">
        <v>441</v>
      </c>
    </row>
    <row r="177" spans="1:10" x14ac:dyDescent="0.25">
      <c r="A177" s="4" t="s">
        <v>442</v>
      </c>
      <c r="B177" s="5">
        <v>46237</v>
      </c>
      <c r="C177" s="4" t="s">
        <v>43</v>
      </c>
      <c r="D177" s="4" t="s">
        <v>443</v>
      </c>
      <c r="E177" s="4" t="s">
        <v>444</v>
      </c>
      <c r="F177" s="13">
        <v>2578</v>
      </c>
      <c r="G177" s="13"/>
      <c r="H177" s="5">
        <v>46238</v>
      </c>
      <c r="I177" s="4" t="s">
        <v>697</v>
      </c>
      <c r="J177" s="4" t="s">
        <v>445</v>
      </c>
    </row>
    <row r="178" spans="1:10" x14ac:dyDescent="0.25">
      <c r="A178" s="14" t="s">
        <v>446</v>
      </c>
      <c r="B178" s="15">
        <v>46234</v>
      </c>
      <c r="C178" s="14" t="s">
        <v>43</v>
      </c>
      <c r="D178" s="14" t="s">
        <v>447</v>
      </c>
      <c r="E178" s="14" t="s">
        <v>448</v>
      </c>
      <c r="F178" s="16"/>
      <c r="G178" s="16">
        <v>730</v>
      </c>
      <c r="H178" s="15">
        <v>46239</v>
      </c>
      <c r="I178" s="14"/>
      <c r="J178" s="14" t="s">
        <v>449</v>
      </c>
    </row>
    <row r="179" spans="1:10" x14ac:dyDescent="0.25">
      <c r="A179" t="s">
        <v>287</v>
      </c>
      <c r="B179" s="1">
        <v>46230</v>
      </c>
      <c r="C179" t="s">
        <v>43</v>
      </c>
      <c r="D179" t="s">
        <v>451</v>
      </c>
      <c r="E179" t="s">
        <v>452</v>
      </c>
      <c r="F179" s="12">
        <v>332.76</v>
      </c>
      <c r="G179" s="12"/>
      <c r="H179" s="1">
        <v>46239</v>
      </c>
      <c r="I179" t="s">
        <v>791</v>
      </c>
      <c r="J179" t="s">
        <v>453</v>
      </c>
    </row>
    <row r="180" spans="1:10" x14ac:dyDescent="0.25">
      <c r="A180" s="4" t="s">
        <v>348</v>
      </c>
      <c r="B180" s="5">
        <v>46233</v>
      </c>
      <c r="C180" s="4" t="s">
        <v>43</v>
      </c>
      <c r="D180" s="4" t="s">
        <v>349</v>
      </c>
      <c r="E180" s="4" t="s">
        <v>454</v>
      </c>
      <c r="F180" s="13">
        <v>62</v>
      </c>
      <c r="G180" s="13"/>
      <c r="H180" s="5">
        <v>46239</v>
      </c>
      <c r="I180" s="4" t="s">
        <v>697</v>
      </c>
      <c r="J180" s="4" t="s">
        <v>455</v>
      </c>
    </row>
    <row r="181" spans="1:10" x14ac:dyDescent="0.25">
      <c r="A181" t="s">
        <v>446</v>
      </c>
      <c r="B181" s="1">
        <v>46238</v>
      </c>
      <c r="C181" t="s">
        <v>43</v>
      </c>
      <c r="D181" t="s">
        <v>266</v>
      </c>
      <c r="E181" t="s">
        <v>456</v>
      </c>
      <c r="F181" s="12">
        <v>365.9</v>
      </c>
      <c r="G181" s="12"/>
      <c r="H181" s="1">
        <v>46239</v>
      </c>
      <c r="I181" t="s">
        <v>698</v>
      </c>
      <c r="J181" t="s">
        <v>457</v>
      </c>
    </row>
    <row r="182" spans="1:10" x14ac:dyDescent="0.25">
      <c r="A182" s="4" t="s">
        <v>366</v>
      </c>
      <c r="B182" s="5">
        <v>46239</v>
      </c>
      <c r="C182" s="4" t="s">
        <v>43</v>
      </c>
      <c r="D182" s="4" t="s">
        <v>427</v>
      </c>
      <c r="E182" s="4" t="s">
        <v>458</v>
      </c>
      <c r="F182" s="13"/>
      <c r="G182" s="13">
        <v>95</v>
      </c>
      <c r="H182" s="5">
        <v>46239</v>
      </c>
      <c r="I182" s="4" t="s">
        <v>697</v>
      </c>
      <c r="J182" s="4" t="s">
        <v>459</v>
      </c>
    </row>
    <row r="183" spans="1:10" x14ac:dyDescent="0.25">
      <c r="A183" t="s">
        <v>198</v>
      </c>
      <c r="B183" s="1">
        <v>46181</v>
      </c>
      <c r="C183" t="s">
        <v>8</v>
      </c>
      <c r="D183" t="s">
        <v>32</v>
      </c>
      <c r="E183" t="s">
        <v>460</v>
      </c>
      <c r="F183" s="12">
        <v>80</v>
      </c>
      <c r="G183" s="12"/>
      <c r="H183" s="1">
        <v>46239</v>
      </c>
      <c r="J183" t="s">
        <v>461</v>
      </c>
    </row>
    <row r="184" spans="1:10" x14ac:dyDescent="0.25">
      <c r="A184" t="s">
        <v>462</v>
      </c>
      <c r="B184" s="1">
        <v>46203</v>
      </c>
      <c r="C184" t="s">
        <v>8</v>
      </c>
      <c r="D184" t="s">
        <v>237</v>
      </c>
      <c r="E184" t="s">
        <v>463</v>
      </c>
      <c r="F184" s="12">
        <v>16</v>
      </c>
      <c r="G184" s="12"/>
      <c r="H184" s="1">
        <v>46239</v>
      </c>
      <c r="I184" t="s">
        <v>850</v>
      </c>
      <c r="J184" t="s">
        <v>464</v>
      </c>
    </row>
    <row r="185" spans="1:10" x14ac:dyDescent="0.25">
      <c r="A185" t="s">
        <v>290</v>
      </c>
      <c r="B185" s="1">
        <v>46181</v>
      </c>
      <c r="C185" t="s">
        <v>8</v>
      </c>
      <c r="D185" t="s">
        <v>9</v>
      </c>
      <c r="E185" t="s">
        <v>465</v>
      </c>
      <c r="F185" s="12">
        <v>122.5</v>
      </c>
      <c r="G185" s="12"/>
      <c r="H185" s="1">
        <v>46240</v>
      </c>
      <c r="J185" t="s">
        <v>466</v>
      </c>
    </row>
    <row r="186" spans="1:10" x14ac:dyDescent="0.25">
      <c r="A186" t="s">
        <v>467</v>
      </c>
      <c r="B186" s="1">
        <v>46127</v>
      </c>
      <c r="C186" t="s">
        <v>43</v>
      </c>
      <c r="D186" t="s">
        <v>793</v>
      </c>
      <c r="E186" t="s">
        <v>468</v>
      </c>
      <c r="F186" s="12">
        <v>3382.47</v>
      </c>
      <c r="G186" s="12"/>
      <c r="H186" s="1">
        <v>46241</v>
      </c>
      <c r="I186" t="s">
        <v>699</v>
      </c>
      <c r="J186" t="s">
        <v>469</v>
      </c>
    </row>
    <row r="187" spans="1:10" x14ac:dyDescent="0.25">
      <c r="A187" t="s">
        <v>467</v>
      </c>
      <c r="B187" s="1">
        <v>46127</v>
      </c>
      <c r="C187" t="s">
        <v>43</v>
      </c>
      <c r="D187" t="s">
        <v>377</v>
      </c>
      <c r="E187" t="s">
        <v>470</v>
      </c>
      <c r="F187" s="12"/>
      <c r="G187" s="12">
        <v>4830</v>
      </c>
      <c r="H187" s="1">
        <v>46241</v>
      </c>
      <c r="I187" t="s">
        <v>792</v>
      </c>
      <c r="J187" t="s">
        <v>471</v>
      </c>
    </row>
    <row r="188" spans="1:10" x14ac:dyDescent="0.25">
      <c r="A188" t="s">
        <v>198</v>
      </c>
      <c r="B188" s="1">
        <v>46238</v>
      </c>
      <c r="C188" t="s">
        <v>8</v>
      </c>
      <c r="D188" t="s">
        <v>450</v>
      </c>
      <c r="E188" t="s">
        <v>472</v>
      </c>
      <c r="F188" s="12">
        <v>15</v>
      </c>
      <c r="G188" s="12"/>
      <c r="H188" s="1">
        <v>46241</v>
      </c>
      <c r="J188" t="s">
        <v>473</v>
      </c>
    </row>
    <row r="189" spans="1:10" x14ac:dyDescent="0.25">
      <c r="A189" s="18" t="s">
        <v>56</v>
      </c>
      <c r="B189" s="3">
        <v>46169</v>
      </c>
      <c r="C189" s="18" t="s">
        <v>8</v>
      </c>
      <c r="D189" s="18" t="s">
        <v>17</v>
      </c>
      <c r="E189" s="18" t="s">
        <v>95</v>
      </c>
      <c r="F189" s="20">
        <v>88.5</v>
      </c>
      <c r="G189" s="20"/>
      <c r="H189" s="19">
        <v>46171</v>
      </c>
      <c r="I189" s="18" t="s">
        <v>871</v>
      </c>
      <c r="J189" s="18" t="s">
        <v>96</v>
      </c>
    </row>
    <row r="190" spans="1:10" x14ac:dyDescent="0.25">
      <c r="A190" t="s">
        <v>180</v>
      </c>
      <c r="B190" s="1">
        <v>46233</v>
      </c>
      <c r="C190" t="s">
        <v>8</v>
      </c>
      <c r="D190" t="s">
        <v>361</v>
      </c>
      <c r="E190" t="s">
        <v>479</v>
      </c>
      <c r="F190" s="12">
        <v>40</v>
      </c>
      <c r="G190" s="12"/>
      <c r="H190" s="1">
        <v>46241</v>
      </c>
      <c r="J190" t="s">
        <v>480</v>
      </c>
    </row>
    <row r="191" spans="1:10" x14ac:dyDescent="0.25">
      <c r="A191" t="s">
        <v>180</v>
      </c>
      <c r="B191" s="1">
        <v>46234</v>
      </c>
      <c r="C191" t="s">
        <v>8</v>
      </c>
      <c r="D191" t="s">
        <v>361</v>
      </c>
      <c r="E191" t="s">
        <v>481</v>
      </c>
      <c r="F191" s="12">
        <v>150</v>
      </c>
      <c r="G191" s="12"/>
      <c r="H191" s="1">
        <v>46241</v>
      </c>
      <c r="J191" t="s">
        <v>482</v>
      </c>
    </row>
    <row r="192" spans="1:10" x14ac:dyDescent="0.25">
      <c r="A192" s="18" t="s">
        <v>56</v>
      </c>
      <c r="B192" s="3">
        <v>46169</v>
      </c>
      <c r="C192" s="18" t="s">
        <v>8</v>
      </c>
      <c r="D192" s="18" t="s">
        <v>17</v>
      </c>
      <c r="E192" s="18" t="s">
        <v>97</v>
      </c>
      <c r="F192" s="20">
        <v>88.5</v>
      </c>
      <c r="G192" s="20"/>
      <c r="H192" s="19">
        <v>46171</v>
      </c>
      <c r="I192" s="18" t="s">
        <v>871</v>
      </c>
      <c r="J192" s="18" t="s">
        <v>96</v>
      </c>
    </row>
    <row r="193" spans="1:10" x14ac:dyDescent="0.25">
      <c r="A193" s="18" t="s">
        <v>70</v>
      </c>
      <c r="B193" s="3">
        <v>46169</v>
      </c>
      <c r="C193" s="18" t="s">
        <v>8</v>
      </c>
      <c r="D193" s="18" t="s">
        <v>17</v>
      </c>
      <c r="E193" s="18" t="s">
        <v>98</v>
      </c>
      <c r="F193" s="20">
        <v>27.14</v>
      </c>
      <c r="G193" s="20"/>
      <c r="H193" s="19">
        <v>46171</v>
      </c>
      <c r="I193" s="18" t="s">
        <v>868</v>
      </c>
      <c r="J193" s="18" t="s">
        <v>99</v>
      </c>
    </row>
    <row r="194" spans="1:10" x14ac:dyDescent="0.25">
      <c r="A194" t="s">
        <v>180</v>
      </c>
      <c r="B194" s="1">
        <v>46241</v>
      </c>
      <c r="C194" t="s">
        <v>8</v>
      </c>
      <c r="D194" t="s">
        <v>263</v>
      </c>
      <c r="E194" t="s">
        <v>486</v>
      </c>
      <c r="F194" s="12"/>
      <c r="G194" s="12">
        <v>22.4</v>
      </c>
      <c r="H194" s="1">
        <v>46241</v>
      </c>
      <c r="J194" t="s">
        <v>487</v>
      </c>
    </row>
    <row r="195" spans="1:10" x14ac:dyDescent="0.25">
      <c r="A195" t="s">
        <v>180</v>
      </c>
      <c r="B195" s="1">
        <v>46241</v>
      </c>
      <c r="C195" t="s">
        <v>8</v>
      </c>
      <c r="D195" t="s">
        <v>263</v>
      </c>
      <c r="E195" t="s">
        <v>488</v>
      </c>
      <c r="F195" s="12"/>
      <c r="G195" s="12">
        <v>22.4</v>
      </c>
      <c r="H195" s="1">
        <v>46241</v>
      </c>
      <c r="J195" t="s">
        <v>487</v>
      </c>
    </row>
    <row r="196" spans="1:10" x14ac:dyDescent="0.25">
      <c r="A196" t="s">
        <v>180</v>
      </c>
      <c r="B196" s="1">
        <v>46241</v>
      </c>
      <c r="C196" t="s">
        <v>8</v>
      </c>
      <c r="D196" t="s">
        <v>263</v>
      </c>
      <c r="E196" t="s">
        <v>489</v>
      </c>
      <c r="F196" s="12"/>
      <c r="G196" s="12">
        <v>13.6</v>
      </c>
      <c r="H196" s="1">
        <v>46241</v>
      </c>
      <c r="J196" t="s">
        <v>490</v>
      </c>
    </row>
    <row r="197" spans="1:10" x14ac:dyDescent="0.25">
      <c r="A197" t="s">
        <v>180</v>
      </c>
      <c r="B197" s="1">
        <v>46241</v>
      </c>
      <c r="C197" t="s">
        <v>8</v>
      </c>
      <c r="D197" t="s">
        <v>263</v>
      </c>
      <c r="E197" t="s">
        <v>491</v>
      </c>
      <c r="F197" s="12"/>
      <c r="G197" s="12">
        <v>13.6</v>
      </c>
      <c r="H197" s="1">
        <v>46241</v>
      </c>
      <c r="J197" t="s">
        <v>490</v>
      </c>
    </row>
    <row r="198" spans="1:10" x14ac:dyDescent="0.25">
      <c r="A198" t="s">
        <v>180</v>
      </c>
      <c r="B198" s="1">
        <v>46241</v>
      </c>
      <c r="C198" t="s">
        <v>8</v>
      </c>
      <c r="D198" t="s">
        <v>263</v>
      </c>
      <c r="E198" t="s">
        <v>492</v>
      </c>
      <c r="F198" s="12"/>
      <c r="G198" s="12">
        <v>5.9</v>
      </c>
      <c r="H198" s="1">
        <v>46241</v>
      </c>
      <c r="J198" t="s">
        <v>493</v>
      </c>
    </row>
    <row r="199" spans="1:10" x14ac:dyDescent="0.25">
      <c r="A199" t="s">
        <v>180</v>
      </c>
      <c r="B199" s="1">
        <v>46241</v>
      </c>
      <c r="C199" t="s">
        <v>8</v>
      </c>
      <c r="D199" t="s">
        <v>263</v>
      </c>
      <c r="E199" t="s">
        <v>494</v>
      </c>
      <c r="F199" s="12"/>
      <c r="G199" s="12">
        <v>5.9</v>
      </c>
      <c r="H199" s="1">
        <v>46241</v>
      </c>
      <c r="J199" t="s">
        <v>493</v>
      </c>
    </row>
    <row r="200" spans="1:10" x14ac:dyDescent="0.25">
      <c r="A200" t="s">
        <v>462</v>
      </c>
      <c r="B200" s="1">
        <v>46218</v>
      </c>
      <c r="C200" t="s">
        <v>8</v>
      </c>
      <c r="D200" t="s">
        <v>9</v>
      </c>
      <c r="E200" t="s">
        <v>495</v>
      </c>
      <c r="F200" s="12">
        <v>227.5</v>
      </c>
      <c r="G200" s="12"/>
      <c r="H200" s="1">
        <v>46241</v>
      </c>
      <c r="J200" t="s">
        <v>496</v>
      </c>
    </row>
    <row r="201" spans="1:10" x14ac:dyDescent="0.25">
      <c r="A201" t="s">
        <v>180</v>
      </c>
      <c r="B201" s="1">
        <v>46241</v>
      </c>
      <c r="C201" t="s">
        <v>8</v>
      </c>
      <c r="D201" t="s">
        <v>9</v>
      </c>
      <c r="E201" t="s">
        <v>497</v>
      </c>
      <c r="F201" s="12">
        <v>70</v>
      </c>
      <c r="G201" s="12"/>
      <c r="H201" s="1">
        <v>46241</v>
      </c>
      <c r="J201" t="s">
        <v>498</v>
      </c>
    </row>
    <row r="202" spans="1:10" x14ac:dyDescent="0.25">
      <c r="A202" t="s">
        <v>180</v>
      </c>
      <c r="B202" s="1">
        <v>46241</v>
      </c>
      <c r="C202" t="s">
        <v>8</v>
      </c>
      <c r="D202" t="s">
        <v>9</v>
      </c>
      <c r="E202" t="s">
        <v>499</v>
      </c>
      <c r="F202" s="12">
        <v>35</v>
      </c>
      <c r="G202" s="12"/>
      <c r="H202" s="1">
        <v>46241</v>
      </c>
      <c r="J202" t="s">
        <v>500</v>
      </c>
    </row>
    <row r="203" spans="1:10" x14ac:dyDescent="0.25">
      <c r="A203" t="s">
        <v>290</v>
      </c>
      <c r="B203" s="1">
        <v>46181</v>
      </c>
      <c r="C203" t="s">
        <v>8</v>
      </c>
      <c r="D203" t="s">
        <v>339</v>
      </c>
      <c r="E203" t="s">
        <v>501</v>
      </c>
      <c r="F203" s="12">
        <v>176</v>
      </c>
      <c r="G203" s="12"/>
      <c r="H203" s="1">
        <v>46241</v>
      </c>
      <c r="J203" t="s">
        <v>502</v>
      </c>
    </row>
    <row r="204" spans="1:10" x14ac:dyDescent="0.25">
      <c r="A204" t="s">
        <v>462</v>
      </c>
      <c r="B204" s="1">
        <v>46203</v>
      </c>
      <c r="C204" t="s">
        <v>8</v>
      </c>
      <c r="D204" t="s">
        <v>339</v>
      </c>
      <c r="E204" t="s">
        <v>503</v>
      </c>
      <c r="F204" s="12">
        <v>304</v>
      </c>
      <c r="G204" s="12"/>
      <c r="H204" s="1">
        <v>46241</v>
      </c>
      <c r="J204" t="s">
        <v>504</v>
      </c>
    </row>
    <row r="205" spans="1:10" x14ac:dyDescent="0.25">
      <c r="A205" t="s">
        <v>462</v>
      </c>
      <c r="B205" s="1">
        <v>46211</v>
      </c>
      <c r="C205" t="s">
        <v>8</v>
      </c>
      <c r="D205" t="s">
        <v>505</v>
      </c>
      <c r="E205" t="s">
        <v>506</v>
      </c>
      <c r="F205" s="12">
        <v>566.4</v>
      </c>
      <c r="G205" s="12"/>
      <c r="H205" s="1">
        <v>46241</v>
      </c>
      <c r="J205" t="s">
        <v>507</v>
      </c>
    </row>
    <row r="206" spans="1:10" x14ac:dyDescent="0.25">
      <c r="A206" t="s">
        <v>462</v>
      </c>
      <c r="B206" s="1">
        <v>46211</v>
      </c>
      <c r="C206" t="s">
        <v>8</v>
      </c>
      <c r="D206" t="s">
        <v>505</v>
      </c>
      <c r="E206" t="s">
        <v>508</v>
      </c>
      <c r="F206" s="12">
        <v>18.88</v>
      </c>
      <c r="G206" s="12"/>
      <c r="H206" s="1">
        <v>46241</v>
      </c>
      <c r="J206" t="s">
        <v>509</v>
      </c>
    </row>
    <row r="207" spans="1:10" x14ac:dyDescent="0.25">
      <c r="A207" t="s">
        <v>462</v>
      </c>
      <c r="B207" s="1">
        <v>46211</v>
      </c>
      <c r="C207" t="s">
        <v>8</v>
      </c>
      <c r="D207" t="s">
        <v>118</v>
      </c>
      <c r="E207" t="s">
        <v>510</v>
      </c>
      <c r="F207" s="12">
        <v>1333.4</v>
      </c>
      <c r="G207" s="12"/>
      <c r="H207" s="1">
        <v>46241</v>
      </c>
      <c r="J207" t="s">
        <v>511</v>
      </c>
    </row>
    <row r="208" spans="1:10" x14ac:dyDescent="0.25">
      <c r="A208" s="18" t="s">
        <v>70</v>
      </c>
      <c r="B208" s="3">
        <v>46169</v>
      </c>
      <c r="C208" s="18" t="s">
        <v>8</v>
      </c>
      <c r="D208" s="18" t="s">
        <v>17</v>
      </c>
      <c r="E208" s="18" t="s">
        <v>100</v>
      </c>
      <c r="F208" s="20">
        <v>27.14</v>
      </c>
      <c r="G208" s="20"/>
      <c r="H208" s="19">
        <v>46171</v>
      </c>
      <c r="I208" s="18" t="s">
        <v>868</v>
      </c>
      <c r="J208" s="18" t="s">
        <v>99</v>
      </c>
    </row>
    <row r="209" spans="1:10" x14ac:dyDescent="0.25">
      <c r="A209" s="18" t="s">
        <v>70</v>
      </c>
      <c r="B209" s="3">
        <v>46169</v>
      </c>
      <c r="C209" s="18" t="s">
        <v>8</v>
      </c>
      <c r="D209" s="18" t="s">
        <v>17</v>
      </c>
      <c r="E209" s="18" t="s">
        <v>101</v>
      </c>
      <c r="F209" s="20">
        <v>11.8</v>
      </c>
      <c r="G209" s="20"/>
      <c r="H209" s="19">
        <v>46171</v>
      </c>
      <c r="I209" s="18" t="s">
        <v>868</v>
      </c>
      <c r="J209" s="18" t="s">
        <v>102</v>
      </c>
    </row>
    <row r="210" spans="1:10" x14ac:dyDescent="0.25">
      <c r="A210" t="s">
        <v>180</v>
      </c>
      <c r="B210" s="1">
        <v>46241</v>
      </c>
      <c r="C210" t="s">
        <v>8</v>
      </c>
      <c r="D210" t="s">
        <v>228</v>
      </c>
      <c r="E210" t="s">
        <v>516</v>
      </c>
      <c r="F210" s="12">
        <v>130</v>
      </c>
      <c r="G210" s="12"/>
      <c r="H210" s="1">
        <v>46241</v>
      </c>
      <c r="I210" t="s">
        <v>853</v>
      </c>
      <c r="J210" t="s">
        <v>517</v>
      </c>
    </row>
    <row r="211" spans="1:10" x14ac:dyDescent="0.25">
      <c r="A211" s="14" t="s">
        <v>467</v>
      </c>
      <c r="B211" s="15">
        <v>46241</v>
      </c>
      <c r="C211" s="14" t="s">
        <v>43</v>
      </c>
      <c r="D211" s="14" t="s">
        <v>205</v>
      </c>
      <c r="E211" s="14" t="s">
        <v>518</v>
      </c>
      <c r="F211" s="16">
        <v>210</v>
      </c>
      <c r="G211" s="16"/>
      <c r="H211" s="15">
        <v>46244</v>
      </c>
      <c r="I211" s="14"/>
      <c r="J211" s="14" t="s">
        <v>519</v>
      </c>
    </row>
    <row r="212" spans="1:10" x14ac:dyDescent="0.25">
      <c r="A212" t="s">
        <v>467</v>
      </c>
      <c r="B212" s="1">
        <v>46241</v>
      </c>
      <c r="C212" t="s">
        <v>43</v>
      </c>
      <c r="D212" t="s">
        <v>17</v>
      </c>
      <c r="E212" t="s">
        <v>520</v>
      </c>
      <c r="F212" s="12">
        <v>120.95</v>
      </c>
      <c r="G212" s="12"/>
      <c r="H212" s="1">
        <v>46244</v>
      </c>
      <c r="J212" t="s">
        <v>521</v>
      </c>
    </row>
    <row r="213" spans="1:10" x14ac:dyDescent="0.25">
      <c r="A213" s="4" t="s">
        <v>348</v>
      </c>
      <c r="B213" s="5">
        <v>46245</v>
      </c>
      <c r="C213" s="4" t="s">
        <v>43</v>
      </c>
      <c r="D213" s="4" t="s">
        <v>740</v>
      </c>
      <c r="E213" s="4" t="s">
        <v>741</v>
      </c>
      <c r="F213" s="13">
        <v>700</v>
      </c>
      <c r="G213" s="13"/>
      <c r="H213" s="5">
        <v>46245</v>
      </c>
      <c r="I213" s="4" t="s">
        <v>697</v>
      </c>
      <c r="J213" s="4" t="s">
        <v>742</v>
      </c>
    </row>
    <row r="214" spans="1:10" x14ac:dyDescent="0.25">
      <c r="A214" s="4" t="s">
        <v>198</v>
      </c>
      <c r="B214" s="5">
        <v>46245</v>
      </c>
      <c r="C214" s="4" t="s">
        <v>43</v>
      </c>
      <c r="D214" s="4" t="s">
        <v>450</v>
      </c>
      <c r="E214" s="4" t="s">
        <v>701</v>
      </c>
      <c r="F214" s="13"/>
      <c r="G214" s="13">
        <v>40</v>
      </c>
      <c r="H214" s="5">
        <v>46245</v>
      </c>
      <c r="I214" s="4" t="s">
        <v>697</v>
      </c>
      <c r="J214" s="4" t="s">
        <v>702</v>
      </c>
    </row>
    <row r="215" spans="1:10" x14ac:dyDescent="0.25">
      <c r="A215" s="4" t="s">
        <v>184</v>
      </c>
      <c r="B215" s="5">
        <v>46245</v>
      </c>
      <c r="C215" s="4" t="s">
        <v>8</v>
      </c>
      <c r="D215" s="4" t="s">
        <v>197</v>
      </c>
      <c r="E215" s="4" t="s">
        <v>752</v>
      </c>
      <c r="F215" s="13">
        <v>75</v>
      </c>
      <c r="G215" s="13"/>
      <c r="H215" s="5">
        <v>46245</v>
      </c>
      <c r="I215" s="4" t="s">
        <v>697</v>
      </c>
      <c r="J215" s="4" t="s">
        <v>753</v>
      </c>
    </row>
    <row r="216" spans="1:10" x14ac:dyDescent="0.25">
      <c r="A216" t="s">
        <v>115</v>
      </c>
      <c r="B216" s="1">
        <v>46245</v>
      </c>
      <c r="C216" t="s">
        <v>8</v>
      </c>
      <c r="D216" t="s">
        <v>339</v>
      </c>
      <c r="E216" t="s">
        <v>764</v>
      </c>
      <c r="F216" s="12">
        <v>189</v>
      </c>
      <c r="G216" s="12"/>
      <c r="H216" s="1">
        <v>46245</v>
      </c>
      <c r="J216" t="s">
        <v>765</v>
      </c>
    </row>
    <row r="217" spans="1:10" x14ac:dyDescent="0.25">
      <c r="A217" s="18" t="s">
        <v>70</v>
      </c>
      <c r="B217" s="3">
        <v>46169</v>
      </c>
      <c r="C217" s="18" t="s">
        <v>8</v>
      </c>
      <c r="D217" s="18" t="s">
        <v>17</v>
      </c>
      <c r="E217" s="18" t="s">
        <v>103</v>
      </c>
      <c r="F217" s="20">
        <v>11.8</v>
      </c>
      <c r="G217" s="20"/>
      <c r="H217" s="19">
        <v>46171</v>
      </c>
      <c r="I217" s="18" t="s">
        <v>868</v>
      </c>
      <c r="J217" s="18" t="s">
        <v>102</v>
      </c>
    </row>
    <row r="218" spans="1:10" x14ac:dyDescent="0.25">
      <c r="A218" s="18" t="s">
        <v>121</v>
      </c>
      <c r="B218" s="3">
        <v>46191</v>
      </c>
      <c r="C218" s="18" t="s">
        <v>8</v>
      </c>
      <c r="D218" s="18" t="s">
        <v>17</v>
      </c>
      <c r="E218" s="18" t="s">
        <v>122</v>
      </c>
      <c r="F218" s="20">
        <v>60.77</v>
      </c>
      <c r="G218" s="20"/>
      <c r="H218" s="19">
        <v>46180</v>
      </c>
      <c r="I218" s="18" t="s">
        <v>866</v>
      </c>
      <c r="J218" s="18" t="s">
        <v>123</v>
      </c>
    </row>
    <row r="219" spans="1:10" x14ac:dyDescent="0.25">
      <c r="A219" s="18" t="s">
        <v>111</v>
      </c>
      <c r="B219" s="3">
        <v>46155</v>
      </c>
      <c r="C219" s="18" t="s">
        <v>8</v>
      </c>
      <c r="D219" s="18" t="s">
        <v>17</v>
      </c>
      <c r="E219" s="18" t="s">
        <v>141</v>
      </c>
      <c r="F219" s="20">
        <v>35.4</v>
      </c>
      <c r="G219" s="20"/>
      <c r="H219" s="19">
        <v>46185</v>
      </c>
      <c r="I219" s="18" t="s">
        <v>869</v>
      </c>
      <c r="J219" s="18" t="s">
        <v>142</v>
      </c>
    </row>
    <row r="220" spans="1:10" x14ac:dyDescent="0.25">
      <c r="A220" s="4" t="s">
        <v>348</v>
      </c>
      <c r="B220" s="5">
        <v>46225</v>
      </c>
      <c r="C220" s="4" t="s">
        <v>43</v>
      </c>
      <c r="D220" s="4" t="s">
        <v>181</v>
      </c>
      <c r="E220" s="4" t="s">
        <v>522</v>
      </c>
      <c r="F220" s="13">
        <v>114</v>
      </c>
      <c r="G220" s="13"/>
      <c r="H220" s="5">
        <v>46246</v>
      </c>
      <c r="I220" s="4" t="s">
        <v>697</v>
      </c>
      <c r="J220" s="4" t="s">
        <v>523</v>
      </c>
    </row>
    <row r="221" spans="1:10" x14ac:dyDescent="0.25">
      <c r="A221" s="4" t="s">
        <v>348</v>
      </c>
      <c r="B221" s="5">
        <v>46245</v>
      </c>
      <c r="C221" s="4" t="s">
        <v>43</v>
      </c>
      <c r="D221" s="4" t="s">
        <v>153</v>
      </c>
      <c r="E221" s="4" t="s">
        <v>703</v>
      </c>
      <c r="F221" s="13"/>
      <c r="G221" s="13">
        <v>399</v>
      </c>
      <c r="H221" s="5">
        <v>46246</v>
      </c>
      <c r="I221" s="4" t="s">
        <v>697</v>
      </c>
      <c r="J221" s="4" t="s">
        <v>704</v>
      </c>
    </row>
    <row r="222" spans="1:10" x14ac:dyDescent="0.25">
      <c r="A222" s="4" t="s">
        <v>348</v>
      </c>
      <c r="B222" s="5">
        <v>46245</v>
      </c>
      <c r="C222" s="4" t="s">
        <v>43</v>
      </c>
      <c r="D222" s="4" t="s">
        <v>153</v>
      </c>
      <c r="E222" s="4" t="s">
        <v>705</v>
      </c>
      <c r="F222" s="13">
        <v>50.4</v>
      </c>
      <c r="G222" s="13"/>
      <c r="H222" s="5">
        <v>46246</v>
      </c>
      <c r="I222" s="4" t="s">
        <v>697</v>
      </c>
      <c r="J222" s="4" t="s">
        <v>706</v>
      </c>
    </row>
    <row r="223" spans="1:10" x14ac:dyDescent="0.25">
      <c r="A223" s="4" t="s">
        <v>348</v>
      </c>
      <c r="B223" s="5">
        <v>46233</v>
      </c>
      <c r="C223" s="4" t="s">
        <v>43</v>
      </c>
      <c r="D223" s="4" t="s">
        <v>524</v>
      </c>
      <c r="E223" s="4" t="s">
        <v>525</v>
      </c>
      <c r="F223" s="13">
        <v>1622.5</v>
      </c>
      <c r="G223" s="13"/>
      <c r="H223" s="5">
        <v>46246</v>
      </c>
      <c r="I223" s="4" t="s">
        <v>697</v>
      </c>
      <c r="J223" s="4" t="s">
        <v>526</v>
      </c>
    </row>
    <row r="224" spans="1:10" x14ac:dyDescent="0.25">
      <c r="A224" t="s">
        <v>348</v>
      </c>
      <c r="B224" s="1">
        <v>46227</v>
      </c>
      <c r="C224" t="s">
        <v>43</v>
      </c>
      <c r="D224" t="s">
        <v>201</v>
      </c>
      <c r="E224" t="s">
        <v>527</v>
      </c>
      <c r="F224" s="12">
        <v>387.23</v>
      </c>
      <c r="G224" s="12"/>
      <c r="H224" s="1">
        <v>46246</v>
      </c>
      <c r="I224" t="s">
        <v>789</v>
      </c>
      <c r="J224" t="s">
        <v>528</v>
      </c>
    </row>
    <row r="225" spans="1:10" x14ac:dyDescent="0.25">
      <c r="A225" s="4" t="s">
        <v>287</v>
      </c>
      <c r="B225" s="5">
        <v>46244</v>
      </c>
      <c r="C225" s="4" t="s">
        <v>43</v>
      </c>
      <c r="D225" s="4" t="s">
        <v>392</v>
      </c>
      <c r="E225" s="4" t="s">
        <v>707</v>
      </c>
      <c r="F225" s="13"/>
      <c r="G225" s="13">
        <v>66</v>
      </c>
      <c r="H225" s="5">
        <v>46246</v>
      </c>
      <c r="I225" s="4" t="s">
        <v>697</v>
      </c>
      <c r="J225" s="4" t="s">
        <v>708</v>
      </c>
    </row>
    <row r="226" spans="1:10" x14ac:dyDescent="0.25">
      <c r="A226" t="s">
        <v>467</v>
      </c>
      <c r="B226" s="1">
        <v>46245</v>
      </c>
      <c r="C226" t="s">
        <v>43</v>
      </c>
      <c r="D226" t="s">
        <v>743</v>
      </c>
      <c r="E226" t="s">
        <v>744</v>
      </c>
      <c r="F226" s="12">
        <v>1684.76</v>
      </c>
      <c r="G226" s="12"/>
      <c r="H226" s="1">
        <v>46246</v>
      </c>
      <c r="I226" t="s">
        <v>697</v>
      </c>
      <c r="J226" t="s">
        <v>745</v>
      </c>
    </row>
    <row r="227" spans="1:10" x14ac:dyDescent="0.25">
      <c r="A227" s="18" t="s">
        <v>147</v>
      </c>
      <c r="B227" s="3">
        <v>46175</v>
      </c>
      <c r="C227" s="18" t="s">
        <v>8</v>
      </c>
      <c r="D227" s="18" t="s">
        <v>17</v>
      </c>
      <c r="E227" s="18" t="s">
        <v>148</v>
      </c>
      <c r="F227" s="20">
        <v>103.84</v>
      </c>
      <c r="G227" s="20"/>
      <c r="H227" s="19">
        <v>46189</v>
      </c>
      <c r="I227" s="18" t="s">
        <v>870</v>
      </c>
      <c r="J227" s="18" t="s">
        <v>149</v>
      </c>
    </row>
    <row r="228" spans="1:10" x14ac:dyDescent="0.25">
      <c r="A228" s="18" t="s">
        <v>121</v>
      </c>
      <c r="B228" s="3">
        <v>46191</v>
      </c>
      <c r="C228" s="18" t="s">
        <v>8</v>
      </c>
      <c r="D228" s="18" t="s">
        <v>17</v>
      </c>
      <c r="E228" s="18" t="s">
        <v>170</v>
      </c>
      <c r="F228" s="20">
        <v>60.77</v>
      </c>
      <c r="G228" s="20"/>
      <c r="H228" s="19">
        <v>46192</v>
      </c>
      <c r="I228" s="18" t="s">
        <v>866</v>
      </c>
      <c r="J228" s="18" t="s">
        <v>123</v>
      </c>
    </row>
    <row r="229" spans="1:10" x14ac:dyDescent="0.25">
      <c r="A229" t="s">
        <v>184</v>
      </c>
      <c r="B229" s="1">
        <v>46246</v>
      </c>
      <c r="C229" t="s">
        <v>8</v>
      </c>
      <c r="D229" t="s">
        <v>794</v>
      </c>
      <c r="E229" t="s">
        <v>797</v>
      </c>
      <c r="F229" s="12">
        <v>70.8</v>
      </c>
      <c r="G229" s="12"/>
      <c r="H229" s="1">
        <v>46246</v>
      </c>
      <c r="J229" t="s">
        <v>796</v>
      </c>
    </row>
    <row r="230" spans="1:10" x14ac:dyDescent="0.25">
      <c r="A230" t="s">
        <v>180</v>
      </c>
      <c r="B230" s="1">
        <v>46246</v>
      </c>
      <c r="C230" t="s">
        <v>8</v>
      </c>
      <c r="D230" t="s">
        <v>417</v>
      </c>
      <c r="E230" t="s">
        <v>798</v>
      </c>
      <c r="F230" s="12"/>
      <c r="G230" s="12">
        <v>84</v>
      </c>
      <c r="H230" s="1">
        <v>46246</v>
      </c>
      <c r="J230" t="s">
        <v>799</v>
      </c>
    </row>
    <row r="231" spans="1:10" x14ac:dyDescent="0.25">
      <c r="A231" t="s">
        <v>180</v>
      </c>
      <c r="B231" s="1">
        <v>46246</v>
      </c>
      <c r="C231" t="s">
        <v>8</v>
      </c>
      <c r="D231" t="s">
        <v>417</v>
      </c>
      <c r="E231" t="s">
        <v>800</v>
      </c>
      <c r="F231" s="12"/>
      <c r="G231" s="12">
        <v>84</v>
      </c>
      <c r="H231" s="1">
        <v>46246</v>
      </c>
      <c r="J231" t="s">
        <v>799</v>
      </c>
    </row>
    <row r="232" spans="1:10" x14ac:dyDescent="0.25">
      <c r="A232" s="18" t="s">
        <v>159</v>
      </c>
      <c r="B232" s="3">
        <v>46177</v>
      </c>
      <c r="C232" s="18" t="s">
        <v>8</v>
      </c>
      <c r="D232" s="18" t="s">
        <v>17</v>
      </c>
      <c r="E232" s="18" t="s">
        <v>399</v>
      </c>
      <c r="F232" s="20">
        <v>873.2</v>
      </c>
      <c r="G232" s="20"/>
      <c r="H232" s="19">
        <v>46234</v>
      </c>
      <c r="I232" s="18" t="s">
        <v>872</v>
      </c>
      <c r="J232" s="18" t="s">
        <v>400</v>
      </c>
    </row>
    <row r="233" spans="1:10" x14ac:dyDescent="0.25">
      <c r="A233" s="2" t="s">
        <v>19</v>
      </c>
      <c r="B233" s="3">
        <v>46246</v>
      </c>
      <c r="C233" s="2" t="s">
        <v>8</v>
      </c>
      <c r="D233" s="2" t="s">
        <v>17</v>
      </c>
      <c r="E233" s="2" t="s">
        <v>779</v>
      </c>
      <c r="F233" s="11">
        <v>17.7</v>
      </c>
      <c r="G233" s="11"/>
      <c r="H233" s="3">
        <v>46246</v>
      </c>
      <c r="I233" s="2" t="s">
        <v>865</v>
      </c>
      <c r="J233" s="2" t="s">
        <v>780</v>
      </c>
    </row>
    <row r="234" spans="1:10" x14ac:dyDescent="0.25">
      <c r="A234" s="2" t="s">
        <v>19</v>
      </c>
      <c r="B234" s="3">
        <v>46246</v>
      </c>
      <c r="C234" s="2" t="s">
        <v>8</v>
      </c>
      <c r="D234" s="2" t="s">
        <v>17</v>
      </c>
      <c r="E234" s="2" t="s">
        <v>781</v>
      </c>
      <c r="F234" s="11">
        <v>17.7</v>
      </c>
      <c r="G234" s="11"/>
      <c r="H234" s="3">
        <v>46246</v>
      </c>
      <c r="I234" s="2" t="s">
        <v>865</v>
      </c>
      <c r="J234" s="2" t="s">
        <v>780</v>
      </c>
    </row>
    <row r="235" spans="1:10" x14ac:dyDescent="0.25">
      <c r="A235" t="s">
        <v>180</v>
      </c>
      <c r="B235" s="1">
        <v>46246</v>
      </c>
      <c r="C235" t="s">
        <v>8</v>
      </c>
      <c r="D235" t="s">
        <v>234</v>
      </c>
      <c r="E235" t="s">
        <v>803</v>
      </c>
      <c r="F235" s="12">
        <v>203.5</v>
      </c>
      <c r="G235" s="12"/>
      <c r="H235" s="1">
        <v>46246</v>
      </c>
      <c r="J235" t="s">
        <v>804</v>
      </c>
    </row>
    <row r="236" spans="1:10" x14ac:dyDescent="0.25">
      <c r="A236" t="s">
        <v>180</v>
      </c>
      <c r="B236" s="1">
        <v>46246</v>
      </c>
      <c r="C236" t="s">
        <v>8</v>
      </c>
      <c r="D236" t="s">
        <v>234</v>
      </c>
      <c r="E236" t="s">
        <v>805</v>
      </c>
      <c r="F236" s="12">
        <v>170</v>
      </c>
      <c r="G236" s="12"/>
      <c r="H236" s="1">
        <v>46246</v>
      </c>
      <c r="J236" t="s">
        <v>806</v>
      </c>
    </row>
    <row r="237" spans="1:10" x14ac:dyDescent="0.25">
      <c r="A237" t="s">
        <v>180</v>
      </c>
      <c r="B237" s="1">
        <v>46246</v>
      </c>
      <c r="C237" t="s">
        <v>8</v>
      </c>
      <c r="D237" t="s">
        <v>234</v>
      </c>
      <c r="E237" t="s">
        <v>807</v>
      </c>
      <c r="F237" s="12">
        <v>140</v>
      </c>
      <c r="G237" s="12"/>
      <c r="H237" s="1">
        <v>46246</v>
      </c>
      <c r="J237" t="s">
        <v>808</v>
      </c>
    </row>
    <row r="238" spans="1:10" x14ac:dyDescent="0.25">
      <c r="A238" t="s">
        <v>180</v>
      </c>
      <c r="B238" s="1">
        <v>46246</v>
      </c>
      <c r="C238" t="s">
        <v>8</v>
      </c>
      <c r="D238" t="s">
        <v>234</v>
      </c>
      <c r="E238" t="s">
        <v>809</v>
      </c>
      <c r="F238" s="12">
        <v>140</v>
      </c>
      <c r="G238" s="12"/>
      <c r="H238" s="1">
        <v>46246</v>
      </c>
      <c r="J238" t="s">
        <v>810</v>
      </c>
    </row>
    <row r="239" spans="1:10" x14ac:dyDescent="0.25">
      <c r="A239" t="s">
        <v>180</v>
      </c>
      <c r="B239" s="1">
        <v>46246</v>
      </c>
      <c r="C239" t="s">
        <v>8</v>
      </c>
      <c r="D239" t="s">
        <v>234</v>
      </c>
      <c r="E239" t="s">
        <v>811</v>
      </c>
      <c r="F239" s="12">
        <v>254.64</v>
      </c>
      <c r="G239" s="12"/>
      <c r="H239" s="1">
        <v>46246</v>
      </c>
      <c r="J239" t="s">
        <v>812</v>
      </c>
    </row>
    <row r="240" spans="1:10" x14ac:dyDescent="0.25">
      <c r="A240" s="2" t="s">
        <v>94</v>
      </c>
      <c r="B240" s="3">
        <v>46246</v>
      </c>
      <c r="C240" s="2" t="s">
        <v>8</v>
      </c>
      <c r="D240" s="2" t="s">
        <v>17</v>
      </c>
      <c r="E240" s="2" t="s">
        <v>782</v>
      </c>
      <c r="F240" s="11">
        <v>110.92</v>
      </c>
      <c r="G240" s="11"/>
      <c r="H240" s="3">
        <v>46246</v>
      </c>
      <c r="I240" s="2" t="s">
        <v>828</v>
      </c>
      <c r="J240" s="2" t="s">
        <v>783</v>
      </c>
    </row>
    <row r="241" spans="1:10" x14ac:dyDescent="0.25">
      <c r="A241" s="2" t="s">
        <v>94</v>
      </c>
      <c r="B241" s="3">
        <v>46246</v>
      </c>
      <c r="C241" s="2" t="s">
        <v>8</v>
      </c>
      <c r="D241" s="2" t="s">
        <v>17</v>
      </c>
      <c r="E241" s="2" t="s">
        <v>784</v>
      </c>
      <c r="F241" s="11">
        <v>110.92</v>
      </c>
      <c r="G241" s="11"/>
      <c r="H241" s="3">
        <v>46246</v>
      </c>
      <c r="I241" s="2" t="s">
        <v>828</v>
      </c>
      <c r="J241" s="2" t="s">
        <v>783</v>
      </c>
    </row>
    <row r="242" spans="1:10" x14ac:dyDescent="0.25">
      <c r="A242" s="2" t="s">
        <v>16</v>
      </c>
      <c r="B242" s="3">
        <v>46246</v>
      </c>
      <c r="C242" s="2" t="s">
        <v>8</v>
      </c>
      <c r="D242" s="2" t="s">
        <v>17</v>
      </c>
      <c r="E242" s="2" t="s">
        <v>815</v>
      </c>
      <c r="F242" s="11">
        <v>52.03</v>
      </c>
      <c r="G242" s="11"/>
      <c r="H242" s="3">
        <v>46246</v>
      </c>
      <c r="I242" s="2" t="s">
        <v>867</v>
      </c>
      <c r="J242" s="2" t="s">
        <v>816</v>
      </c>
    </row>
    <row r="243" spans="1:10" x14ac:dyDescent="0.25">
      <c r="A243" s="2" t="s">
        <v>16</v>
      </c>
      <c r="B243" s="3">
        <v>46246</v>
      </c>
      <c r="C243" s="2" t="s">
        <v>8</v>
      </c>
      <c r="D243" s="2" t="s">
        <v>17</v>
      </c>
      <c r="E243" s="2" t="s">
        <v>817</v>
      </c>
      <c r="F243" s="11">
        <v>52.03</v>
      </c>
      <c r="G243" s="11"/>
      <c r="H243" s="3">
        <v>46246</v>
      </c>
      <c r="I243" s="2" t="s">
        <v>867</v>
      </c>
      <c r="J243" s="2" t="s">
        <v>816</v>
      </c>
    </row>
    <row r="244" spans="1:10" x14ac:dyDescent="0.25">
      <c r="A244" s="18" t="s">
        <v>204</v>
      </c>
      <c r="B244" s="3">
        <v>46176</v>
      </c>
      <c r="C244" s="18" t="s">
        <v>8</v>
      </c>
      <c r="D244" s="18" t="s">
        <v>237</v>
      </c>
      <c r="E244" s="18" t="s">
        <v>238</v>
      </c>
      <c r="F244" s="20">
        <v>89</v>
      </c>
      <c r="G244" s="20"/>
      <c r="H244" s="19">
        <v>46218</v>
      </c>
      <c r="I244" s="18" t="s">
        <v>843</v>
      </c>
      <c r="J244" s="18" t="s">
        <v>239</v>
      </c>
    </row>
    <row r="245" spans="1:10" x14ac:dyDescent="0.25">
      <c r="A245" s="18" t="s">
        <v>184</v>
      </c>
      <c r="B245" s="3">
        <v>46216</v>
      </c>
      <c r="C245" s="18" t="s">
        <v>43</v>
      </c>
      <c r="D245" s="18" t="s">
        <v>237</v>
      </c>
      <c r="E245" s="18" t="s">
        <v>243</v>
      </c>
      <c r="F245" s="20">
        <v>112</v>
      </c>
      <c r="G245" s="20"/>
      <c r="H245" s="19">
        <v>46220</v>
      </c>
      <c r="I245" s="18" t="s">
        <v>844</v>
      </c>
      <c r="J245" s="18" t="s">
        <v>244</v>
      </c>
    </row>
    <row r="246" spans="1:10" x14ac:dyDescent="0.25">
      <c r="A246" t="s">
        <v>38</v>
      </c>
      <c r="B246" s="1">
        <v>46246</v>
      </c>
      <c r="C246" t="s">
        <v>8</v>
      </c>
      <c r="D246" t="s">
        <v>55</v>
      </c>
      <c r="E246" t="s">
        <v>766</v>
      </c>
      <c r="F246" s="12">
        <v>1253.4000000000001</v>
      </c>
      <c r="G246" s="12"/>
      <c r="H246" s="1">
        <v>46246</v>
      </c>
      <c r="I246" t="s">
        <v>882</v>
      </c>
      <c r="J246" t="s">
        <v>767</v>
      </c>
    </row>
    <row r="247" spans="1:10" x14ac:dyDescent="0.25">
      <c r="A247" s="18" t="s">
        <v>212</v>
      </c>
      <c r="B247" s="3">
        <v>46183</v>
      </c>
      <c r="C247" s="18" t="s">
        <v>8</v>
      </c>
      <c r="D247" s="18" t="s">
        <v>237</v>
      </c>
      <c r="E247" s="18" t="s">
        <v>297</v>
      </c>
      <c r="F247" s="20">
        <v>103</v>
      </c>
      <c r="G247" s="20"/>
      <c r="H247" s="19">
        <v>46225</v>
      </c>
      <c r="I247" s="18" t="s">
        <v>842</v>
      </c>
      <c r="J247" s="18" t="s">
        <v>298</v>
      </c>
    </row>
    <row r="248" spans="1:10" x14ac:dyDescent="0.25">
      <c r="A248" s="18" t="s">
        <v>159</v>
      </c>
      <c r="B248" s="3">
        <v>46178</v>
      </c>
      <c r="C248" s="18" t="s">
        <v>8</v>
      </c>
      <c r="D248" s="18" t="s">
        <v>237</v>
      </c>
      <c r="E248" s="18" t="s">
        <v>327</v>
      </c>
      <c r="F248" s="20">
        <v>43</v>
      </c>
      <c r="G248" s="20"/>
      <c r="H248" s="19">
        <v>46227</v>
      </c>
      <c r="I248" s="18" t="s">
        <v>841</v>
      </c>
      <c r="J248" s="18" t="s">
        <v>328</v>
      </c>
    </row>
    <row r="249" spans="1:10" x14ac:dyDescent="0.25">
      <c r="A249" s="18" t="s">
        <v>180</v>
      </c>
      <c r="B249" s="3">
        <v>46224</v>
      </c>
      <c r="C249" s="18" t="s">
        <v>8</v>
      </c>
      <c r="D249" s="18" t="s">
        <v>237</v>
      </c>
      <c r="E249" s="18" t="s">
        <v>512</v>
      </c>
      <c r="F249" s="20">
        <v>50</v>
      </c>
      <c r="G249" s="20"/>
      <c r="H249" s="19">
        <v>46241</v>
      </c>
      <c r="I249" s="18" t="s">
        <v>849</v>
      </c>
      <c r="J249" s="18" t="s">
        <v>513</v>
      </c>
    </row>
    <row r="250" spans="1:10" x14ac:dyDescent="0.25">
      <c r="A250" s="18" t="s">
        <v>180</v>
      </c>
      <c r="B250" s="3">
        <v>46241</v>
      </c>
      <c r="C250" s="18" t="s">
        <v>8</v>
      </c>
      <c r="D250" s="18" t="s">
        <v>237</v>
      </c>
      <c r="E250" s="18" t="s">
        <v>514</v>
      </c>
      <c r="F250" s="20">
        <v>25</v>
      </c>
      <c r="G250" s="20"/>
      <c r="H250" s="19">
        <v>46241</v>
      </c>
      <c r="I250" s="18" t="s">
        <v>849</v>
      </c>
      <c r="J250" s="18" t="s">
        <v>515</v>
      </c>
    </row>
    <row r="251" spans="1:10" x14ac:dyDescent="0.25">
      <c r="A251" s="18" t="s">
        <v>204</v>
      </c>
      <c r="B251" s="3">
        <v>46245</v>
      </c>
      <c r="C251" s="18" t="s">
        <v>8</v>
      </c>
      <c r="D251" s="18" t="s">
        <v>228</v>
      </c>
      <c r="E251" s="18" t="s">
        <v>785</v>
      </c>
      <c r="F251" s="20">
        <v>135</v>
      </c>
      <c r="G251" s="20"/>
      <c r="H251" s="19">
        <v>46214</v>
      </c>
      <c r="I251" s="18" t="s">
        <v>851</v>
      </c>
      <c r="J251" s="18" t="s">
        <v>786</v>
      </c>
    </row>
    <row r="252" spans="1:10" x14ac:dyDescent="0.25">
      <c r="A252" s="18" t="s">
        <v>233</v>
      </c>
      <c r="B252" s="3">
        <v>46245</v>
      </c>
      <c r="C252" s="18" t="s">
        <v>8</v>
      </c>
      <c r="D252" s="18" t="s">
        <v>228</v>
      </c>
      <c r="E252" s="18" t="s">
        <v>787</v>
      </c>
      <c r="F252" s="20">
        <v>75</v>
      </c>
      <c r="G252" s="20"/>
      <c r="H252" s="19">
        <v>46245</v>
      </c>
      <c r="I252" s="18" t="s">
        <v>852</v>
      </c>
      <c r="J252" s="18" t="s">
        <v>788</v>
      </c>
    </row>
    <row r="253" spans="1:10" x14ac:dyDescent="0.25">
      <c r="A253" t="s">
        <v>16</v>
      </c>
      <c r="B253" s="1">
        <v>46246</v>
      </c>
      <c r="C253" t="s">
        <v>8</v>
      </c>
      <c r="D253" t="s">
        <v>17</v>
      </c>
      <c r="E253" t="s">
        <v>813</v>
      </c>
      <c r="F253" s="12">
        <v>56.53</v>
      </c>
      <c r="G253" s="12"/>
      <c r="H253" s="1">
        <v>46246</v>
      </c>
      <c r="J253" t="s">
        <v>18</v>
      </c>
    </row>
    <row r="254" spans="1:10" x14ac:dyDescent="0.25">
      <c r="A254" t="s">
        <v>16</v>
      </c>
      <c r="B254" s="1">
        <v>46246</v>
      </c>
      <c r="C254" t="s">
        <v>8</v>
      </c>
      <c r="D254" t="s">
        <v>17</v>
      </c>
      <c r="E254" t="s">
        <v>814</v>
      </c>
      <c r="F254" s="12">
        <v>56.53</v>
      </c>
      <c r="G254" s="12"/>
      <c r="H254" s="1">
        <v>46246</v>
      </c>
      <c r="J254" t="s">
        <v>18</v>
      </c>
    </row>
    <row r="255" spans="1:10" x14ac:dyDescent="0.25">
      <c r="A255" s="18" t="s">
        <v>111</v>
      </c>
      <c r="B255" s="3">
        <v>46169</v>
      </c>
      <c r="C255" s="18" t="s">
        <v>8</v>
      </c>
      <c r="D255" s="18" t="s">
        <v>143</v>
      </c>
      <c r="E255" s="18" t="s">
        <v>144</v>
      </c>
      <c r="F255" s="20">
        <v>502.68</v>
      </c>
      <c r="G255" s="20"/>
      <c r="H255" s="19">
        <v>46185</v>
      </c>
      <c r="I255" s="18" t="s">
        <v>890</v>
      </c>
      <c r="J255" s="18" t="s">
        <v>145</v>
      </c>
    </row>
    <row r="256" spans="1:10" x14ac:dyDescent="0.25">
      <c r="A256" s="18" t="s">
        <v>111</v>
      </c>
      <c r="B256" s="3">
        <v>46169</v>
      </c>
      <c r="C256" s="18" t="s">
        <v>8</v>
      </c>
      <c r="D256" s="18" t="s">
        <v>143</v>
      </c>
      <c r="E256" s="18" t="s">
        <v>146</v>
      </c>
      <c r="F256" s="20">
        <v>1508.04</v>
      </c>
      <c r="G256" s="20"/>
      <c r="H256" s="19">
        <v>46185</v>
      </c>
      <c r="I256" s="18" t="s">
        <v>890</v>
      </c>
      <c r="J256" s="18" t="s">
        <v>145</v>
      </c>
    </row>
    <row r="257" spans="1:10" x14ac:dyDescent="0.25">
      <c r="A257" t="s">
        <v>366</v>
      </c>
      <c r="B257" s="1">
        <v>46244</v>
      </c>
      <c r="C257" t="s">
        <v>8</v>
      </c>
      <c r="D257" t="s">
        <v>675</v>
      </c>
      <c r="E257" t="s">
        <v>709</v>
      </c>
      <c r="F257" s="12">
        <v>6</v>
      </c>
      <c r="G257" s="12"/>
      <c r="H257" s="1">
        <v>46246</v>
      </c>
      <c r="J257" t="s">
        <v>710</v>
      </c>
    </row>
    <row r="258" spans="1:10" x14ac:dyDescent="0.25">
      <c r="A258" s="4" t="s">
        <v>287</v>
      </c>
      <c r="B258" s="5">
        <v>46247</v>
      </c>
      <c r="C258" s="4" t="s">
        <v>43</v>
      </c>
      <c r="D258" s="4" t="s">
        <v>819</v>
      </c>
      <c r="E258" s="4" t="s">
        <v>820</v>
      </c>
      <c r="F258" s="13">
        <v>210</v>
      </c>
      <c r="G258" s="13"/>
      <c r="H258" s="5">
        <v>46247</v>
      </c>
      <c r="I258" s="4" t="s">
        <v>697</v>
      </c>
      <c r="J258" s="4" t="s">
        <v>821</v>
      </c>
    </row>
    <row r="259" spans="1:10" x14ac:dyDescent="0.25">
      <c r="A259" s="4" t="s">
        <v>287</v>
      </c>
      <c r="B259" s="5">
        <v>46247</v>
      </c>
      <c r="C259" s="4" t="s">
        <v>43</v>
      </c>
      <c r="D259" s="4" t="s">
        <v>819</v>
      </c>
      <c r="E259" s="4" t="s">
        <v>822</v>
      </c>
      <c r="F259" s="13">
        <v>198</v>
      </c>
      <c r="G259" s="13"/>
      <c r="H259" s="5">
        <v>46247</v>
      </c>
      <c r="I259" s="4" t="s">
        <v>697</v>
      </c>
      <c r="J259" s="4" t="s">
        <v>823</v>
      </c>
    </row>
    <row r="260" spans="1:10" x14ac:dyDescent="0.25">
      <c r="A260" t="s">
        <v>159</v>
      </c>
      <c r="B260" s="1">
        <v>46178</v>
      </c>
      <c r="C260" t="s">
        <v>8</v>
      </c>
      <c r="D260" t="s">
        <v>451</v>
      </c>
      <c r="E260" t="s">
        <v>534</v>
      </c>
      <c r="F260" s="12">
        <v>500.32</v>
      </c>
      <c r="G260" s="12"/>
      <c r="H260" s="1">
        <v>46247</v>
      </c>
      <c r="J260" t="s">
        <v>535</v>
      </c>
    </row>
    <row r="261" spans="1:10" x14ac:dyDescent="0.25">
      <c r="A261" s="4" t="s">
        <v>348</v>
      </c>
      <c r="B261" s="5">
        <v>46245</v>
      </c>
      <c r="C261" s="4" t="s">
        <v>43</v>
      </c>
      <c r="D261" s="4" t="s">
        <v>566</v>
      </c>
      <c r="E261" s="4" t="s">
        <v>711</v>
      </c>
      <c r="F261" s="13">
        <v>70</v>
      </c>
      <c r="G261" s="13"/>
      <c r="H261" s="5">
        <v>46248</v>
      </c>
      <c r="I261" s="4" t="s">
        <v>697</v>
      </c>
      <c r="J261" s="4" t="s">
        <v>712</v>
      </c>
    </row>
    <row r="262" spans="1:10" x14ac:dyDescent="0.25">
      <c r="A262" s="4" t="s">
        <v>446</v>
      </c>
      <c r="B262" s="5">
        <v>46238</v>
      </c>
      <c r="C262" s="4" t="s">
        <v>43</v>
      </c>
      <c r="D262" s="4" t="s">
        <v>339</v>
      </c>
      <c r="E262" s="4" t="s">
        <v>536</v>
      </c>
      <c r="F262" s="13">
        <v>160</v>
      </c>
      <c r="G262" s="13"/>
      <c r="H262" s="5">
        <v>46248</v>
      </c>
      <c r="I262" s="4" t="s">
        <v>697</v>
      </c>
      <c r="J262" s="4" t="s">
        <v>537</v>
      </c>
    </row>
    <row r="263" spans="1:10" x14ac:dyDescent="0.25">
      <c r="A263" s="4" t="s">
        <v>446</v>
      </c>
      <c r="B263" s="5">
        <v>46238</v>
      </c>
      <c r="C263" s="4" t="s">
        <v>43</v>
      </c>
      <c r="D263" s="4" t="s">
        <v>87</v>
      </c>
      <c r="E263" s="4" t="s">
        <v>538</v>
      </c>
      <c r="F263" s="13">
        <v>64</v>
      </c>
      <c r="G263" s="13"/>
      <c r="H263" s="5">
        <v>46248</v>
      </c>
      <c r="I263" s="4" t="s">
        <v>697</v>
      </c>
      <c r="J263" s="4" t="s">
        <v>539</v>
      </c>
    </row>
    <row r="264" spans="1:10" x14ac:dyDescent="0.25">
      <c r="A264" t="s">
        <v>287</v>
      </c>
      <c r="B264" s="1">
        <v>46246</v>
      </c>
      <c r="C264" t="s">
        <v>8</v>
      </c>
      <c r="D264" t="s">
        <v>39</v>
      </c>
      <c r="E264" t="s">
        <v>748</v>
      </c>
      <c r="F264" s="12">
        <v>537.24</v>
      </c>
      <c r="G264" s="12"/>
      <c r="H264" s="1">
        <v>46248</v>
      </c>
      <c r="J264" t="s">
        <v>749</v>
      </c>
    </row>
    <row r="265" spans="1:10" x14ac:dyDescent="0.25">
      <c r="A265" t="s">
        <v>287</v>
      </c>
      <c r="B265" s="1">
        <v>46213</v>
      </c>
      <c r="C265" t="s">
        <v>8</v>
      </c>
      <c r="D265" t="s">
        <v>250</v>
      </c>
      <c r="E265" t="s">
        <v>312</v>
      </c>
      <c r="F265" s="12">
        <v>646.79999999999995</v>
      </c>
      <c r="G265" s="12"/>
      <c r="H265" s="1">
        <v>46248</v>
      </c>
      <c r="J265" t="s">
        <v>313</v>
      </c>
    </row>
    <row r="266" spans="1:10" x14ac:dyDescent="0.25">
      <c r="A266" t="s">
        <v>287</v>
      </c>
      <c r="B266" s="1">
        <v>46244</v>
      </c>
      <c r="C266" t="s">
        <v>8</v>
      </c>
      <c r="D266" t="s">
        <v>250</v>
      </c>
      <c r="E266" t="s">
        <v>713</v>
      </c>
      <c r="F266" s="12">
        <v>97.92</v>
      </c>
      <c r="G266" s="12"/>
      <c r="H266" s="1">
        <v>46248</v>
      </c>
      <c r="J266" t="s">
        <v>714</v>
      </c>
    </row>
    <row r="267" spans="1:10" x14ac:dyDescent="0.25">
      <c r="A267" t="s">
        <v>446</v>
      </c>
      <c r="B267" s="1">
        <v>46238</v>
      </c>
      <c r="C267" t="s">
        <v>8</v>
      </c>
      <c r="D267" t="s">
        <v>266</v>
      </c>
      <c r="E267" t="s">
        <v>540</v>
      </c>
      <c r="F267" s="12">
        <v>365.9</v>
      </c>
      <c r="G267" s="12"/>
      <c r="H267" s="1">
        <v>46248</v>
      </c>
      <c r="J267" t="s">
        <v>457</v>
      </c>
    </row>
    <row r="268" spans="1:10" x14ac:dyDescent="0.25">
      <c r="A268" t="s">
        <v>212</v>
      </c>
      <c r="B268" s="1">
        <v>46184</v>
      </c>
      <c r="C268" t="s">
        <v>8</v>
      </c>
      <c r="D268" t="s">
        <v>55</v>
      </c>
      <c r="E268" t="s">
        <v>541</v>
      </c>
      <c r="F268" s="12">
        <v>72</v>
      </c>
      <c r="G268" s="12"/>
      <c r="H268" s="1">
        <v>46248</v>
      </c>
      <c r="J268" t="s">
        <v>542</v>
      </c>
    </row>
    <row r="269" spans="1:10" x14ac:dyDescent="0.25">
      <c r="A269" t="s">
        <v>446</v>
      </c>
      <c r="B269" s="1">
        <v>46234</v>
      </c>
      <c r="C269" t="s">
        <v>8</v>
      </c>
      <c r="D269" t="s">
        <v>87</v>
      </c>
      <c r="E269" t="s">
        <v>543</v>
      </c>
      <c r="F269" s="12">
        <v>26</v>
      </c>
      <c r="G269" s="12"/>
      <c r="H269" s="1">
        <v>46248</v>
      </c>
      <c r="J269" t="s">
        <v>544</v>
      </c>
    </row>
    <row r="270" spans="1:10" x14ac:dyDescent="0.25">
      <c r="A270" t="s">
        <v>366</v>
      </c>
      <c r="B270" s="1">
        <v>46209</v>
      </c>
      <c r="C270" t="s">
        <v>8</v>
      </c>
      <c r="D270" t="s">
        <v>17</v>
      </c>
      <c r="E270" t="s">
        <v>545</v>
      </c>
      <c r="F270" s="12">
        <v>86.14</v>
      </c>
      <c r="G270" s="12"/>
      <c r="H270" s="1">
        <v>46248</v>
      </c>
      <c r="I270" t="s">
        <v>873</v>
      </c>
      <c r="J270" t="s">
        <v>368</v>
      </c>
    </row>
    <row r="271" spans="1:10" x14ac:dyDescent="0.25">
      <c r="A271" t="s">
        <v>287</v>
      </c>
      <c r="B271" s="1">
        <v>46237</v>
      </c>
      <c r="C271" t="s">
        <v>8</v>
      </c>
      <c r="D271" t="s">
        <v>237</v>
      </c>
      <c r="E271" t="s">
        <v>546</v>
      </c>
      <c r="F271" s="12">
        <v>20</v>
      </c>
      <c r="G271" s="12"/>
      <c r="H271" s="1">
        <v>46248</v>
      </c>
      <c r="J271" t="s">
        <v>547</v>
      </c>
    </row>
    <row r="272" spans="1:10" x14ac:dyDescent="0.25">
      <c r="A272" s="4" t="s">
        <v>467</v>
      </c>
      <c r="B272" s="5">
        <v>46228</v>
      </c>
      <c r="C272" s="4" t="s">
        <v>43</v>
      </c>
      <c r="D272" s="4" t="s">
        <v>339</v>
      </c>
      <c r="E272" s="4" t="s">
        <v>548</v>
      </c>
      <c r="F272" s="13"/>
      <c r="G272" s="13">
        <v>225</v>
      </c>
      <c r="H272" s="5">
        <v>46250</v>
      </c>
      <c r="I272" s="4" t="s">
        <v>697</v>
      </c>
      <c r="J272" s="4" t="s">
        <v>549</v>
      </c>
    </row>
    <row r="273" spans="1:10" x14ac:dyDescent="0.25">
      <c r="A273" t="s">
        <v>198</v>
      </c>
      <c r="B273" s="1">
        <v>46181</v>
      </c>
      <c r="C273" t="s">
        <v>8</v>
      </c>
      <c r="D273" t="s">
        <v>9</v>
      </c>
      <c r="E273" t="s">
        <v>550</v>
      </c>
      <c r="F273" s="12">
        <v>192.5</v>
      </c>
      <c r="G273" s="12"/>
      <c r="H273" s="1">
        <v>46250</v>
      </c>
      <c r="J273" t="s">
        <v>551</v>
      </c>
    </row>
    <row r="274" spans="1:10" x14ac:dyDescent="0.25">
      <c r="A274" s="14" t="s">
        <v>467</v>
      </c>
      <c r="B274" s="15">
        <v>46230</v>
      </c>
      <c r="C274" s="14" t="s">
        <v>43</v>
      </c>
      <c r="D274" s="14" t="s">
        <v>450</v>
      </c>
      <c r="E274" s="14" t="s">
        <v>552</v>
      </c>
      <c r="F274" s="16"/>
      <c r="G274" s="16">
        <v>1197</v>
      </c>
      <c r="H274" s="15">
        <v>46253</v>
      </c>
      <c r="I274" s="14"/>
      <c r="J274" s="14" t="s">
        <v>553</v>
      </c>
    </row>
    <row r="275" spans="1:10" x14ac:dyDescent="0.25">
      <c r="A275" s="4" t="s">
        <v>554</v>
      </c>
      <c r="B275" s="5">
        <v>46239</v>
      </c>
      <c r="C275" s="4" t="s">
        <v>43</v>
      </c>
      <c r="D275" s="4" t="s">
        <v>153</v>
      </c>
      <c r="E275" s="4" t="s">
        <v>555</v>
      </c>
      <c r="F275" s="13"/>
      <c r="G275" s="13">
        <v>357</v>
      </c>
      <c r="H275" s="5">
        <v>46253</v>
      </c>
      <c r="I275" s="4" t="s">
        <v>697</v>
      </c>
      <c r="J275" s="4" t="s">
        <v>556</v>
      </c>
    </row>
    <row r="276" spans="1:10" x14ac:dyDescent="0.25">
      <c r="A276" t="s">
        <v>467</v>
      </c>
      <c r="B276" s="1">
        <v>46241</v>
      </c>
      <c r="C276" t="s">
        <v>43</v>
      </c>
      <c r="D276" t="s">
        <v>153</v>
      </c>
      <c r="E276" t="s">
        <v>557</v>
      </c>
      <c r="F276" s="12"/>
      <c r="G276" s="12">
        <v>1260</v>
      </c>
      <c r="H276" s="1">
        <v>46253</v>
      </c>
      <c r="I276" t="s">
        <v>737</v>
      </c>
      <c r="J276" t="s">
        <v>558</v>
      </c>
    </row>
    <row r="277" spans="1:10" x14ac:dyDescent="0.25">
      <c r="A277" s="14" t="s">
        <v>467</v>
      </c>
      <c r="B277" s="15">
        <v>46230</v>
      </c>
      <c r="C277" s="14" t="s">
        <v>43</v>
      </c>
      <c r="D277" s="14" t="s">
        <v>374</v>
      </c>
      <c r="E277" s="14" t="s">
        <v>559</v>
      </c>
      <c r="F277" s="16"/>
      <c r="G277" s="16">
        <v>1149.5</v>
      </c>
      <c r="H277" s="15">
        <v>46253</v>
      </c>
      <c r="I277" s="14"/>
      <c r="J277" s="14" t="s">
        <v>560</v>
      </c>
    </row>
    <row r="278" spans="1:10" x14ac:dyDescent="0.25">
      <c r="A278" s="14" t="s">
        <v>532</v>
      </c>
      <c r="B278" s="15">
        <v>46223</v>
      </c>
      <c r="C278" s="14" t="s">
        <v>43</v>
      </c>
      <c r="D278" s="14" t="s">
        <v>561</v>
      </c>
      <c r="E278" s="14" t="s">
        <v>562</v>
      </c>
      <c r="F278" s="16">
        <v>1388.2</v>
      </c>
      <c r="G278" s="16"/>
      <c r="H278" s="15">
        <v>46253</v>
      </c>
      <c r="I278" s="14"/>
      <c r="J278" s="14" t="s">
        <v>563</v>
      </c>
    </row>
    <row r="279" spans="1:10" x14ac:dyDescent="0.25">
      <c r="A279" t="s">
        <v>366</v>
      </c>
      <c r="B279" s="1">
        <v>46244</v>
      </c>
      <c r="C279" t="s">
        <v>43</v>
      </c>
      <c r="D279" t="s">
        <v>715</v>
      </c>
      <c r="E279" t="s">
        <v>716</v>
      </c>
      <c r="F279" s="12">
        <v>160</v>
      </c>
      <c r="G279" s="12"/>
      <c r="H279" s="1">
        <v>46253</v>
      </c>
      <c r="I279" t="s">
        <v>891</v>
      </c>
      <c r="J279" t="s">
        <v>717</v>
      </c>
    </row>
    <row r="280" spans="1:10" x14ac:dyDescent="0.25">
      <c r="A280" t="s">
        <v>554</v>
      </c>
      <c r="B280" s="1">
        <v>46239</v>
      </c>
      <c r="C280" t="s">
        <v>43</v>
      </c>
      <c r="D280" t="s">
        <v>201</v>
      </c>
      <c r="E280" t="s">
        <v>564</v>
      </c>
      <c r="F280" s="12">
        <v>387.23</v>
      </c>
      <c r="G280" s="12"/>
      <c r="H280" s="1">
        <v>46253</v>
      </c>
      <c r="I280" t="s">
        <v>789</v>
      </c>
      <c r="J280" t="s">
        <v>565</v>
      </c>
    </row>
    <row r="281" spans="1:10" x14ac:dyDescent="0.25">
      <c r="A281" s="14" t="s">
        <v>554</v>
      </c>
      <c r="B281" s="15">
        <v>46239</v>
      </c>
      <c r="C281" s="14" t="s">
        <v>43</v>
      </c>
      <c r="D281" s="14" t="s">
        <v>566</v>
      </c>
      <c r="E281" s="14" t="s">
        <v>567</v>
      </c>
      <c r="F281" s="16">
        <v>70</v>
      </c>
      <c r="G281" s="16"/>
      <c r="H281" s="15">
        <v>46253</v>
      </c>
      <c r="I281" s="14"/>
      <c r="J281" s="14" t="s">
        <v>568</v>
      </c>
    </row>
    <row r="282" spans="1:10" x14ac:dyDescent="0.25">
      <c r="A282" s="14" t="s">
        <v>467</v>
      </c>
      <c r="B282" s="15">
        <v>46241</v>
      </c>
      <c r="C282" s="14" t="s">
        <v>43</v>
      </c>
      <c r="D282" s="14" t="s">
        <v>339</v>
      </c>
      <c r="E282" s="14" t="s">
        <v>569</v>
      </c>
      <c r="F282" s="16"/>
      <c r="G282" s="16">
        <v>140</v>
      </c>
      <c r="H282" s="15">
        <v>46253</v>
      </c>
      <c r="I282" s="14"/>
      <c r="J282" s="14" t="s">
        <v>570</v>
      </c>
    </row>
    <row r="283" spans="1:10" x14ac:dyDescent="0.25">
      <c r="A283" s="14" t="s">
        <v>532</v>
      </c>
      <c r="B283" s="15">
        <v>46223</v>
      </c>
      <c r="C283" s="14" t="s">
        <v>43</v>
      </c>
      <c r="D283" s="14" t="s">
        <v>443</v>
      </c>
      <c r="E283" s="14" t="s">
        <v>571</v>
      </c>
      <c r="F283" s="16">
        <v>2418</v>
      </c>
      <c r="G283" s="16"/>
      <c r="H283" s="15">
        <v>46253</v>
      </c>
      <c r="I283" s="14"/>
      <c r="J283" s="14" t="s">
        <v>572</v>
      </c>
    </row>
    <row r="284" spans="1:10" x14ac:dyDescent="0.25">
      <c r="A284" t="s">
        <v>287</v>
      </c>
      <c r="B284" s="1">
        <v>46237</v>
      </c>
      <c r="C284" t="s">
        <v>43</v>
      </c>
      <c r="D284" t="s">
        <v>112</v>
      </c>
      <c r="E284" t="s">
        <v>573</v>
      </c>
      <c r="F284" s="12">
        <v>22</v>
      </c>
      <c r="G284" s="12"/>
      <c r="H284" s="1">
        <v>46255</v>
      </c>
      <c r="J284" t="s">
        <v>574</v>
      </c>
    </row>
    <row r="285" spans="1:10" x14ac:dyDescent="0.25">
      <c r="A285" s="14" t="s">
        <v>446</v>
      </c>
      <c r="B285" s="15">
        <v>46234</v>
      </c>
      <c r="C285" s="14" t="s">
        <v>43</v>
      </c>
      <c r="D285" s="14" t="s">
        <v>237</v>
      </c>
      <c r="E285" s="14" t="s">
        <v>575</v>
      </c>
      <c r="F285" s="16">
        <v>15</v>
      </c>
      <c r="G285" s="16"/>
      <c r="H285" s="15">
        <v>46255</v>
      </c>
      <c r="I285" s="14"/>
      <c r="J285" s="14" t="s">
        <v>576</v>
      </c>
    </row>
    <row r="286" spans="1:10" x14ac:dyDescent="0.25">
      <c r="A286" t="s">
        <v>287</v>
      </c>
      <c r="B286" s="1">
        <v>46237</v>
      </c>
      <c r="C286" t="s">
        <v>8</v>
      </c>
      <c r="D286" t="s">
        <v>112</v>
      </c>
      <c r="E286" t="s">
        <v>577</v>
      </c>
      <c r="F286" s="12">
        <v>25</v>
      </c>
      <c r="G286" s="12"/>
      <c r="H286" s="1">
        <v>46255</v>
      </c>
      <c r="J286" t="s">
        <v>578</v>
      </c>
    </row>
    <row r="287" spans="1:10" x14ac:dyDescent="0.25">
      <c r="A287" t="s">
        <v>446</v>
      </c>
      <c r="B287" s="1">
        <v>46238</v>
      </c>
      <c r="C287" t="s">
        <v>8</v>
      </c>
      <c r="D287" t="s">
        <v>361</v>
      </c>
      <c r="E287" t="s">
        <v>579</v>
      </c>
      <c r="F287" s="12">
        <v>60</v>
      </c>
      <c r="G287" s="12"/>
      <c r="H287" s="1">
        <v>46255</v>
      </c>
      <c r="J287" t="s">
        <v>580</v>
      </c>
    </row>
    <row r="288" spans="1:10" x14ac:dyDescent="0.25">
      <c r="A288" t="s">
        <v>446</v>
      </c>
      <c r="B288" s="1">
        <v>46238</v>
      </c>
      <c r="C288" t="s">
        <v>8</v>
      </c>
      <c r="D288" t="s">
        <v>32</v>
      </c>
      <c r="E288" t="s">
        <v>581</v>
      </c>
      <c r="F288" s="12">
        <v>247</v>
      </c>
      <c r="G288" s="12"/>
      <c r="H288" s="1">
        <v>46255</v>
      </c>
      <c r="J288" t="s">
        <v>582</v>
      </c>
    </row>
    <row r="289" spans="1:10" x14ac:dyDescent="0.25">
      <c r="A289" t="s">
        <v>446</v>
      </c>
      <c r="B289" s="1">
        <v>46238</v>
      </c>
      <c r="C289" t="s">
        <v>8</v>
      </c>
      <c r="D289" t="s">
        <v>386</v>
      </c>
      <c r="E289" t="s">
        <v>583</v>
      </c>
      <c r="F289" s="12">
        <v>260.25</v>
      </c>
      <c r="G289" s="12"/>
      <c r="H289" s="1">
        <v>46255</v>
      </c>
      <c r="J289" t="s">
        <v>584</v>
      </c>
    </row>
    <row r="290" spans="1:10" x14ac:dyDescent="0.25">
      <c r="A290" t="s">
        <v>446</v>
      </c>
      <c r="B290" s="1">
        <v>46238</v>
      </c>
      <c r="C290" t="s">
        <v>8</v>
      </c>
      <c r="D290" t="s">
        <v>386</v>
      </c>
      <c r="E290" t="s">
        <v>585</v>
      </c>
      <c r="F290" s="12">
        <v>260.25</v>
      </c>
      <c r="G290" s="12"/>
      <c r="H290" s="1">
        <v>46255</v>
      </c>
      <c r="J290" t="s">
        <v>584</v>
      </c>
    </row>
    <row r="291" spans="1:10" x14ac:dyDescent="0.25">
      <c r="A291" t="s">
        <v>287</v>
      </c>
      <c r="B291" s="1">
        <v>46238</v>
      </c>
      <c r="C291" t="s">
        <v>8</v>
      </c>
      <c r="D291" t="s">
        <v>9</v>
      </c>
      <c r="E291" t="s">
        <v>586</v>
      </c>
      <c r="F291" s="12">
        <v>17.5</v>
      </c>
      <c r="G291" s="12"/>
      <c r="H291" s="1">
        <v>46255</v>
      </c>
      <c r="J291" t="s">
        <v>587</v>
      </c>
    </row>
    <row r="292" spans="1:10" x14ac:dyDescent="0.25">
      <c r="A292" t="s">
        <v>287</v>
      </c>
      <c r="B292" s="1">
        <v>46238</v>
      </c>
      <c r="C292" t="s">
        <v>8</v>
      </c>
      <c r="D292" t="s">
        <v>9</v>
      </c>
      <c r="E292" t="s">
        <v>588</v>
      </c>
      <c r="F292" s="12">
        <v>17.5</v>
      </c>
      <c r="G292" s="12"/>
      <c r="H292" s="1">
        <v>46255</v>
      </c>
      <c r="J292" t="s">
        <v>589</v>
      </c>
    </row>
    <row r="293" spans="1:10" x14ac:dyDescent="0.25">
      <c r="A293" t="s">
        <v>446</v>
      </c>
      <c r="B293" s="1">
        <v>46238</v>
      </c>
      <c r="C293" t="s">
        <v>8</v>
      </c>
      <c r="D293" t="s">
        <v>9</v>
      </c>
      <c r="E293" t="s">
        <v>590</v>
      </c>
      <c r="F293" s="12">
        <v>192.5</v>
      </c>
      <c r="G293" s="12"/>
      <c r="H293" s="1">
        <v>46255</v>
      </c>
      <c r="J293" t="s">
        <v>591</v>
      </c>
    </row>
    <row r="294" spans="1:10" x14ac:dyDescent="0.25">
      <c r="A294" t="s">
        <v>348</v>
      </c>
      <c r="B294" s="1">
        <v>46245</v>
      </c>
      <c r="C294" t="s">
        <v>8</v>
      </c>
      <c r="D294" t="s">
        <v>55</v>
      </c>
      <c r="E294" t="s">
        <v>718</v>
      </c>
      <c r="F294" s="12">
        <v>1189.4000000000001</v>
      </c>
      <c r="G294" s="12"/>
      <c r="H294" s="1">
        <v>46255</v>
      </c>
      <c r="J294" t="s">
        <v>719</v>
      </c>
    </row>
    <row r="295" spans="1:10" x14ac:dyDescent="0.25">
      <c r="A295" t="s">
        <v>287</v>
      </c>
      <c r="B295" s="1">
        <v>46246</v>
      </c>
      <c r="C295" t="s">
        <v>8</v>
      </c>
      <c r="D295" t="s">
        <v>55</v>
      </c>
      <c r="E295" t="s">
        <v>772</v>
      </c>
      <c r="F295" s="12">
        <v>1228</v>
      </c>
      <c r="G295" s="12"/>
      <c r="H295" s="1">
        <v>46255</v>
      </c>
      <c r="J295" t="s">
        <v>773</v>
      </c>
    </row>
    <row r="296" spans="1:10" x14ac:dyDescent="0.25">
      <c r="A296" t="s">
        <v>287</v>
      </c>
      <c r="B296" s="1">
        <v>46246</v>
      </c>
      <c r="C296" t="s">
        <v>8</v>
      </c>
      <c r="D296" t="s">
        <v>55</v>
      </c>
      <c r="E296" t="s">
        <v>774</v>
      </c>
      <c r="F296" s="12">
        <v>1248.5999999999999</v>
      </c>
      <c r="G296" s="12"/>
      <c r="H296" s="1">
        <v>46255</v>
      </c>
      <c r="J296" t="s">
        <v>354</v>
      </c>
    </row>
    <row r="297" spans="1:10" x14ac:dyDescent="0.25">
      <c r="A297" t="s">
        <v>287</v>
      </c>
      <c r="B297" s="1">
        <v>46237</v>
      </c>
      <c r="C297" t="s">
        <v>8</v>
      </c>
      <c r="D297" t="s">
        <v>237</v>
      </c>
      <c r="E297" t="s">
        <v>592</v>
      </c>
      <c r="F297" s="12">
        <v>20</v>
      </c>
      <c r="G297" s="12"/>
      <c r="H297" s="1">
        <v>46255</v>
      </c>
      <c r="J297" t="s">
        <v>593</v>
      </c>
    </row>
    <row r="298" spans="1:10" x14ac:dyDescent="0.25">
      <c r="A298" t="s">
        <v>446</v>
      </c>
      <c r="B298" s="1">
        <v>46238</v>
      </c>
      <c r="C298" t="s">
        <v>8</v>
      </c>
      <c r="D298" t="s">
        <v>237</v>
      </c>
      <c r="E298" t="s">
        <v>594</v>
      </c>
      <c r="F298" s="12">
        <v>78</v>
      </c>
      <c r="G298" s="12"/>
      <c r="H298" s="1">
        <v>46255</v>
      </c>
      <c r="J298" t="s">
        <v>595</v>
      </c>
    </row>
    <row r="299" spans="1:10" x14ac:dyDescent="0.25">
      <c r="A299" t="s">
        <v>446</v>
      </c>
      <c r="B299" s="1">
        <v>46238</v>
      </c>
      <c r="C299" t="s">
        <v>8</v>
      </c>
      <c r="D299" t="s">
        <v>228</v>
      </c>
      <c r="E299" t="s">
        <v>596</v>
      </c>
      <c r="F299" s="12">
        <v>90</v>
      </c>
      <c r="G299" s="12"/>
      <c r="H299" s="1">
        <v>46255</v>
      </c>
      <c r="J299" t="s">
        <v>597</v>
      </c>
    </row>
    <row r="300" spans="1:10" x14ac:dyDescent="0.25">
      <c r="A300" t="s">
        <v>348</v>
      </c>
      <c r="B300" s="1">
        <v>46200</v>
      </c>
      <c r="C300" t="s">
        <v>43</v>
      </c>
      <c r="D300" t="s">
        <v>237</v>
      </c>
      <c r="E300" t="s">
        <v>598</v>
      </c>
      <c r="F300" s="12">
        <v>85</v>
      </c>
      <c r="G300" s="12"/>
      <c r="H300" s="1">
        <v>46259</v>
      </c>
      <c r="J300" t="s">
        <v>599</v>
      </c>
    </row>
    <row r="301" spans="1:10" x14ac:dyDescent="0.25">
      <c r="A301" t="s">
        <v>532</v>
      </c>
      <c r="B301" s="1">
        <v>46233</v>
      </c>
      <c r="C301" t="s">
        <v>43</v>
      </c>
      <c r="D301" t="s">
        <v>600</v>
      </c>
      <c r="E301" t="s">
        <v>601</v>
      </c>
      <c r="F301" s="12">
        <v>51.54</v>
      </c>
      <c r="G301" s="12"/>
      <c r="H301" s="1">
        <v>46260</v>
      </c>
      <c r="J301" t="s">
        <v>602</v>
      </c>
    </row>
    <row r="302" spans="1:10" x14ac:dyDescent="0.25">
      <c r="A302" t="s">
        <v>532</v>
      </c>
      <c r="B302" s="1">
        <v>46223</v>
      </c>
      <c r="C302" t="s">
        <v>43</v>
      </c>
      <c r="D302" t="s">
        <v>603</v>
      </c>
      <c r="E302" t="s">
        <v>604</v>
      </c>
      <c r="F302" s="12">
        <v>3866.4</v>
      </c>
      <c r="G302" s="12"/>
      <c r="H302" s="1">
        <v>46260</v>
      </c>
      <c r="J302" t="s">
        <v>605</v>
      </c>
    </row>
    <row r="303" spans="1:10" x14ac:dyDescent="0.25">
      <c r="A303" t="s">
        <v>348</v>
      </c>
      <c r="B303" s="1">
        <v>46245</v>
      </c>
      <c r="C303" t="s">
        <v>8</v>
      </c>
      <c r="D303" t="s">
        <v>32</v>
      </c>
      <c r="E303" t="s">
        <v>720</v>
      </c>
      <c r="F303" s="12">
        <v>80</v>
      </c>
      <c r="G303" s="12"/>
      <c r="H303" s="1">
        <v>46262</v>
      </c>
      <c r="J303" t="s">
        <v>721</v>
      </c>
    </row>
    <row r="304" spans="1:10" x14ac:dyDescent="0.25">
      <c r="A304" t="s">
        <v>366</v>
      </c>
      <c r="B304" s="1">
        <v>46241</v>
      </c>
      <c r="C304" t="s">
        <v>8</v>
      </c>
      <c r="D304" t="s">
        <v>9</v>
      </c>
      <c r="E304" t="s">
        <v>606</v>
      </c>
      <c r="F304" s="12">
        <v>262.5</v>
      </c>
      <c r="G304" s="12"/>
      <c r="H304" s="1">
        <v>46262</v>
      </c>
      <c r="J304" t="s">
        <v>607</v>
      </c>
    </row>
    <row r="305" spans="1:10" x14ac:dyDescent="0.25">
      <c r="A305" t="s">
        <v>467</v>
      </c>
      <c r="B305" s="1">
        <v>46241</v>
      </c>
      <c r="C305" t="s">
        <v>43</v>
      </c>
      <c r="D305" t="s">
        <v>17</v>
      </c>
      <c r="E305" t="s">
        <v>608</v>
      </c>
      <c r="F305" s="12">
        <v>33.04</v>
      </c>
      <c r="G305" s="12"/>
      <c r="H305" s="1">
        <v>46263</v>
      </c>
      <c r="J305" t="s">
        <v>609</v>
      </c>
    </row>
    <row r="306" spans="1:10" x14ac:dyDescent="0.25">
      <c r="A306" t="s">
        <v>348</v>
      </c>
      <c r="B306" s="1">
        <v>46184</v>
      </c>
      <c r="C306" t="s">
        <v>8</v>
      </c>
      <c r="D306" t="s">
        <v>610</v>
      </c>
      <c r="E306" t="s">
        <v>611</v>
      </c>
      <c r="F306" s="12">
        <v>348</v>
      </c>
      <c r="G306" s="12"/>
      <c r="H306" s="1">
        <v>46265</v>
      </c>
      <c r="J306" t="s">
        <v>612</v>
      </c>
    </row>
    <row r="307" spans="1:10" x14ac:dyDescent="0.25">
      <c r="A307" s="4" t="s">
        <v>613</v>
      </c>
      <c r="B307" s="5">
        <v>46161</v>
      </c>
      <c r="C307" s="4" t="s">
        <v>43</v>
      </c>
      <c r="D307" s="4" t="s">
        <v>614</v>
      </c>
      <c r="E307" s="4" t="s">
        <v>615</v>
      </c>
      <c r="F307" s="13">
        <v>614</v>
      </c>
      <c r="G307" s="13"/>
      <c r="H307" s="5">
        <v>46267</v>
      </c>
      <c r="I307" s="4" t="s">
        <v>697</v>
      </c>
      <c r="J307" s="4" t="s">
        <v>616</v>
      </c>
    </row>
    <row r="308" spans="1:10" x14ac:dyDescent="0.25">
      <c r="A308" s="4" t="s">
        <v>617</v>
      </c>
      <c r="B308" s="5">
        <v>46104</v>
      </c>
      <c r="C308" s="4" t="s">
        <v>43</v>
      </c>
      <c r="D308" s="4" t="s">
        <v>600</v>
      </c>
      <c r="E308" s="4" t="s">
        <v>618</v>
      </c>
      <c r="F308" s="13">
        <v>105</v>
      </c>
      <c r="G308" s="13"/>
      <c r="H308" s="5">
        <v>46267</v>
      </c>
      <c r="I308" s="4" t="s">
        <v>697</v>
      </c>
      <c r="J308" s="4" t="s">
        <v>619</v>
      </c>
    </row>
    <row r="309" spans="1:10" x14ac:dyDescent="0.25">
      <c r="A309" t="s">
        <v>554</v>
      </c>
      <c r="B309" s="1">
        <v>46239</v>
      </c>
      <c r="C309" t="s">
        <v>43</v>
      </c>
      <c r="D309" t="s">
        <v>620</v>
      </c>
      <c r="E309" t="s">
        <v>621</v>
      </c>
      <c r="F309" s="12">
        <v>507.4</v>
      </c>
      <c r="G309" s="12"/>
      <c r="H309" s="1">
        <v>46267</v>
      </c>
      <c r="J309" t="s">
        <v>622</v>
      </c>
    </row>
    <row r="310" spans="1:10" x14ac:dyDescent="0.25">
      <c r="A310" t="s">
        <v>348</v>
      </c>
      <c r="B310" s="1">
        <v>46245</v>
      </c>
      <c r="C310" t="s">
        <v>8</v>
      </c>
      <c r="D310" t="s">
        <v>39</v>
      </c>
      <c r="E310" t="s">
        <v>722</v>
      </c>
      <c r="F310" s="12">
        <v>219.52</v>
      </c>
      <c r="G310" s="12"/>
      <c r="H310" s="1">
        <v>46269</v>
      </c>
      <c r="J310" t="s">
        <v>723</v>
      </c>
    </row>
    <row r="311" spans="1:10" x14ac:dyDescent="0.25">
      <c r="A311" t="s">
        <v>348</v>
      </c>
      <c r="B311" s="1">
        <v>46245</v>
      </c>
      <c r="C311" t="s">
        <v>8</v>
      </c>
      <c r="D311" t="s">
        <v>9</v>
      </c>
      <c r="E311" t="s">
        <v>724</v>
      </c>
      <c r="F311" s="12">
        <v>245</v>
      </c>
      <c r="G311" s="12"/>
      <c r="H311" s="1">
        <v>46269</v>
      </c>
      <c r="J311" t="s">
        <v>725</v>
      </c>
    </row>
    <row r="312" spans="1:10" x14ac:dyDescent="0.25">
      <c r="A312" t="s">
        <v>348</v>
      </c>
      <c r="B312" s="1">
        <v>46225</v>
      </c>
      <c r="C312" t="s">
        <v>8</v>
      </c>
      <c r="D312" t="s">
        <v>87</v>
      </c>
      <c r="E312" t="s">
        <v>623</v>
      </c>
      <c r="F312" s="12">
        <v>87</v>
      </c>
      <c r="G312" s="12"/>
      <c r="H312" s="1">
        <v>46269</v>
      </c>
      <c r="J312" t="s">
        <v>624</v>
      </c>
    </row>
    <row r="313" spans="1:10" x14ac:dyDescent="0.25">
      <c r="A313" t="s">
        <v>348</v>
      </c>
      <c r="B313" s="1">
        <v>46113</v>
      </c>
      <c r="C313" t="s">
        <v>8</v>
      </c>
      <c r="D313" t="s">
        <v>625</v>
      </c>
      <c r="E313" t="s">
        <v>626</v>
      </c>
      <c r="F313" s="12">
        <v>954</v>
      </c>
      <c r="G313" s="12"/>
      <c r="H313" s="1">
        <v>46269</v>
      </c>
      <c r="J313" t="s">
        <v>627</v>
      </c>
    </row>
    <row r="314" spans="1:10" x14ac:dyDescent="0.25">
      <c r="A314" t="s">
        <v>532</v>
      </c>
      <c r="B314" s="1">
        <v>46223</v>
      </c>
      <c r="C314" t="s">
        <v>43</v>
      </c>
      <c r="D314" t="s">
        <v>628</v>
      </c>
      <c r="E314" t="s">
        <v>629</v>
      </c>
      <c r="F314" s="12">
        <v>1298</v>
      </c>
      <c r="G314" s="12"/>
      <c r="H314" s="1">
        <v>46274</v>
      </c>
      <c r="J314" t="s">
        <v>630</v>
      </c>
    </row>
    <row r="315" spans="1:10" x14ac:dyDescent="0.25">
      <c r="A315" t="s">
        <v>532</v>
      </c>
      <c r="B315" s="1">
        <v>46223</v>
      </c>
      <c r="C315" t="s">
        <v>43</v>
      </c>
      <c r="D315" t="s">
        <v>631</v>
      </c>
      <c r="E315" t="s">
        <v>632</v>
      </c>
      <c r="F315" s="12">
        <v>443.55</v>
      </c>
      <c r="G315" s="12"/>
      <c r="H315" s="1">
        <v>46274</v>
      </c>
      <c r="J315" t="s">
        <v>633</v>
      </c>
    </row>
    <row r="316" spans="1:10" x14ac:dyDescent="0.25">
      <c r="A316" s="4" t="s">
        <v>532</v>
      </c>
      <c r="B316" s="5">
        <v>46233</v>
      </c>
      <c r="C316" s="4" t="s">
        <v>43</v>
      </c>
      <c r="D316" s="4" t="s">
        <v>600</v>
      </c>
      <c r="E316" s="4" t="s">
        <v>634</v>
      </c>
      <c r="F316" s="13">
        <v>463.82</v>
      </c>
      <c r="G316" s="13"/>
      <c r="H316" s="5">
        <v>46274</v>
      </c>
      <c r="I316" s="4" t="s">
        <v>697</v>
      </c>
      <c r="J316" s="4" t="s">
        <v>602</v>
      </c>
    </row>
    <row r="317" spans="1:10" x14ac:dyDescent="0.25">
      <c r="A317" t="s">
        <v>532</v>
      </c>
      <c r="B317" s="1">
        <v>46223</v>
      </c>
      <c r="C317" t="s">
        <v>43</v>
      </c>
      <c r="D317" t="s">
        <v>530</v>
      </c>
      <c r="E317" t="s">
        <v>635</v>
      </c>
      <c r="F317" s="12">
        <v>551.25</v>
      </c>
      <c r="G317" s="12"/>
      <c r="H317" s="1">
        <v>46274</v>
      </c>
      <c r="J317" t="s">
        <v>533</v>
      </c>
    </row>
    <row r="318" spans="1:10" x14ac:dyDescent="0.25">
      <c r="A318" t="s">
        <v>467</v>
      </c>
      <c r="B318" s="1">
        <v>46241</v>
      </c>
      <c r="C318" t="s">
        <v>8</v>
      </c>
      <c r="D318" t="s">
        <v>112</v>
      </c>
      <c r="E318" t="s">
        <v>636</v>
      </c>
      <c r="F318" s="12">
        <v>44</v>
      </c>
      <c r="G318" s="12"/>
      <c r="H318" s="1">
        <v>46274</v>
      </c>
      <c r="J318" t="s">
        <v>637</v>
      </c>
    </row>
    <row r="319" spans="1:10" x14ac:dyDescent="0.25">
      <c r="A319" t="s">
        <v>467</v>
      </c>
      <c r="B319" s="1">
        <v>46241</v>
      </c>
      <c r="C319" t="s">
        <v>8</v>
      </c>
      <c r="D319" t="s">
        <v>112</v>
      </c>
      <c r="E319" t="s">
        <v>638</v>
      </c>
      <c r="F319" s="12">
        <v>8.4</v>
      </c>
      <c r="G319" s="12"/>
      <c r="H319" s="1">
        <v>46274</v>
      </c>
      <c r="J319" t="s">
        <v>639</v>
      </c>
    </row>
    <row r="320" spans="1:10" x14ac:dyDescent="0.25">
      <c r="A320" t="s">
        <v>467</v>
      </c>
      <c r="B320" s="1">
        <v>46241</v>
      </c>
      <c r="C320" t="s">
        <v>8</v>
      </c>
      <c r="D320" t="s">
        <v>112</v>
      </c>
      <c r="E320" t="s">
        <v>640</v>
      </c>
      <c r="F320" s="12">
        <v>75</v>
      </c>
      <c r="G320" s="12"/>
      <c r="H320" s="1">
        <v>46274</v>
      </c>
      <c r="J320" t="s">
        <v>641</v>
      </c>
    </row>
    <row r="321" spans="1:10" x14ac:dyDescent="0.25">
      <c r="A321" t="s">
        <v>467</v>
      </c>
      <c r="B321" s="1">
        <v>46241</v>
      </c>
      <c r="C321" t="s">
        <v>8</v>
      </c>
      <c r="D321" t="s">
        <v>112</v>
      </c>
      <c r="E321" t="s">
        <v>642</v>
      </c>
      <c r="F321" s="12">
        <v>8.4</v>
      </c>
      <c r="G321" s="12"/>
      <c r="H321" s="1">
        <v>46274</v>
      </c>
      <c r="J321" t="s">
        <v>643</v>
      </c>
    </row>
    <row r="322" spans="1:10" x14ac:dyDescent="0.25">
      <c r="A322" t="s">
        <v>467</v>
      </c>
      <c r="B322" s="1">
        <v>46241</v>
      </c>
      <c r="C322" t="s">
        <v>8</v>
      </c>
      <c r="D322" t="s">
        <v>112</v>
      </c>
      <c r="E322" t="s">
        <v>644</v>
      </c>
      <c r="F322" s="12">
        <v>15</v>
      </c>
      <c r="G322" s="12"/>
      <c r="H322" s="1">
        <v>46274</v>
      </c>
      <c r="J322" t="s">
        <v>645</v>
      </c>
    </row>
    <row r="323" spans="1:10" x14ac:dyDescent="0.25">
      <c r="A323" t="s">
        <v>467</v>
      </c>
      <c r="B323" s="1">
        <v>46241</v>
      </c>
      <c r="C323" t="s">
        <v>8</v>
      </c>
      <c r="D323" t="s">
        <v>112</v>
      </c>
      <c r="E323" t="s">
        <v>646</v>
      </c>
      <c r="F323" s="12">
        <v>2.8</v>
      </c>
      <c r="G323" s="12"/>
      <c r="H323" s="1">
        <v>46274</v>
      </c>
      <c r="J323" t="s">
        <v>647</v>
      </c>
    </row>
    <row r="324" spans="1:10" x14ac:dyDescent="0.25">
      <c r="A324" t="s">
        <v>467</v>
      </c>
      <c r="B324" s="1">
        <v>46241</v>
      </c>
      <c r="C324" t="s">
        <v>8</v>
      </c>
      <c r="D324" t="s">
        <v>648</v>
      </c>
      <c r="E324" t="s">
        <v>649</v>
      </c>
      <c r="F324" s="12">
        <v>60</v>
      </c>
      <c r="G324" s="12"/>
      <c r="H324" s="1">
        <v>46274</v>
      </c>
      <c r="J324" t="s">
        <v>650</v>
      </c>
    </row>
    <row r="325" spans="1:10" x14ac:dyDescent="0.25">
      <c r="A325" t="s">
        <v>467</v>
      </c>
      <c r="B325" s="1">
        <v>46241</v>
      </c>
      <c r="C325" t="s">
        <v>8</v>
      </c>
      <c r="D325" t="s">
        <v>9</v>
      </c>
      <c r="E325" t="s">
        <v>651</v>
      </c>
      <c r="F325" s="12">
        <v>35</v>
      </c>
      <c r="G325" s="12"/>
      <c r="H325" s="1">
        <v>46274</v>
      </c>
      <c r="J325" t="s">
        <v>652</v>
      </c>
    </row>
    <row r="326" spans="1:10" x14ac:dyDescent="0.25">
      <c r="A326" t="s">
        <v>467</v>
      </c>
      <c r="B326" s="1">
        <v>46241</v>
      </c>
      <c r="C326" t="s">
        <v>8</v>
      </c>
      <c r="D326" t="s">
        <v>339</v>
      </c>
      <c r="E326" t="s">
        <v>653</v>
      </c>
      <c r="F326" s="12">
        <v>160</v>
      </c>
      <c r="G326" s="12"/>
      <c r="H326" s="1">
        <v>46274</v>
      </c>
      <c r="J326" t="s">
        <v>654</v>
      </c>
    </row>
    <row r="327" spans="1:10" x14ac:dyDescent="0.25">
      <c r="A327" t="s">
        <v>467</v>
      </c>
      <c r="B327" s="1">
        <v>46241</v>
      </c>
      <c r="C327" t="s">
        <v>8</v>
      </c>
      <c r="D327" t="s">
        <v>87</v>
      </c>
      <c r="E327" t="s">
        <v>655</v>
      </c>
      <c r="F327" s="12">
        <v>26</v>
      </c>
      <c r="G327" s="12"/>
      <c r="H327" s="1">
        <v>46274</v>
      </c>
      <c r="J327" t="s">
        <v>656</v>
      </c>
    </row>
    <row r="328" spans="1:10" x14ac:dyDescent="0.25">
      <c r="A328" t="s">
        <v>467</v>
      </c>
      <c r="B328" s="1">
        <v>46241</v>
      </c>
      <c r="C328" t="s">
        <v>8</v>
      </c>
      <c r="D328" t="s">
        <v>87</v>
      </c>
      <c r="E328" t="s">
        <v>657</v>
      </c>
      <c r="F328" s="12">
        <v>32</v>
      </c>
      <c r="G328" s="12"/>
      <c r="H328" s="1">
        <v>46274</v>
      </c>
      <c r="J328" t="s">
        <v>658</v>
      </c>
    </row>
    <row r="329" spans="1:10" x14ac:dyDescent="0.25">
      <c r="A329" t="s">
        <v>467</v>
      </c>
      <c r="B329" s="1">
        <v>46241</v>
      </c>
      <c r="C329" t="s">
        <v>8</v>
      </c>
      <c r="D329" t="s">
        <v>87</v>
      </c>
      <c r="E329" t="s">
        <v>659</v>
      </c>
      <c r="F329" s="12">
        <v>72</v>
      </c>
      <c r="G329" s="12"/>
      <c r="H329" s="1">
        <v>46274</v>
      </c>
      <c r="J329" t="s">
        <v>660</v>
      </c>
    </row>
    <row r="330" spans="1:10" x14ac:dyDescent="0.25">
      <c r="A330" t="s">
        <v>467</v>
      </c>
      <c r="B330" s="1">
        <v>46241</v>
      </c>
      <c r="C330" t="s">
        <v>8</v>
      </c>
      <c r="D330" t="s">
        <v>87</v>
      </c>
      <c r="E330" t="s">
        <v>661</v>
      </c>
      <c r="F330" s="12">
        <v>64</v>
      </c>
      <c r="G330" s="12"/>
      <c r="H330" s="1">
        <v>46274</v>
      </c>
      <c r="J330" t="s">
        <v>662</v>
      </c>
    </row>
    <row r="331" spans="1:10" x14ac:dyDescent="0.25">
      <c r="A331" t="s">
        <v>467</v>
      </c>
      <c r="B331" s="1">
        <v>46241</v>
      </c>
      <c r="C331" t="s">
        <v>8</v>
      </c>
      <c r="D331" t="s">
        <v>87</v>
      </c>
      <c r="E331" t="s">
        <v>663</v>
      </c>
      <c r="F331" s="12">
        <v>35.4</v>
      </c>
      <c r="G331" s="12"/>
      <c r="H331" s="1">
        <v>46274</v>
      </c>
      <c r="J331" t="s">
        <v>664</v>
      </c>
    </row>
    <row r="332" spans="1:10" x14ac:dyDescent="0.25">
      <c r="A332" t="s">
        <v>467</v>
      </c>
      <c r="B332" s="1">
        <v>46241</v>
      </c>
      <c r="C332" t="s">
        <v>8</v>
      </c>
      <c r="D332" t="s">
        <v>87</v>
      </c>
      <c r="E332" t="s">
        <v>665</v>
      </c>
      <c r="F332" s="12">
        <v>23</v>
      </c>
      <c r="G332" s="12"/>
      <c r="H332" s="1">
        <v>46274</v>
      </c>
      <c r="J332" t="s">
        <v>666</v>
      </c>
    </row>
    <row r="333" spans="1:10" x14ac:dyDescent="0.25">
      <c r="A333" t="s">
        <v>467</v>
      </c>
      <c r="B333" s="1">
        <v>46241</v>
      </c>
      <c r="C333" t="s">
        <v>8</v>
      </c>
      <c r="D333" t="s">
        <v>87</v>
      </c>
      <c r="E333" t="s">
        <v>667</v>
      </c>
      <c r="F333" s="12">
        <v>25</v>
      </c>
      <c r="G333" s="12"/>
      <c r="H333" s="1">
        <v>46274</v>
      </c>
      <c r="J333" t="s">
        <v>668</v>
      </c>
    </row>
    <row r="334" spans="1:10" x14ac:dyDescent="0.25">
      <c r="A334" t="s">
        <v>467</v>
      </c>
      <c r="B334" s="1">
        <v>46241</v>
      </c>
      <c r="C334" t="s">
        <v>8</v>
      </c>
      <c r="D334" t="s">
        <v>17</v>
      </c>
      <c r="E334" t="s">
        <v>669</v>
      </c>
      <c r="F334" s="12">
        <v>120.95</v>
      </c>
      <c r="G334" s="12"/>
      <c r="H334" s="1">
        <v>46274</v>
      </c>
      <c r="J334" t="s">
        <v>521</v>
      </c>
    </row>
    <row r="335" spans="1:10" x14ac:dyDescent="0.25">
      <c r="A335" t="s">
        <v>467</v>
      </c>
      <c r="B335" s="1">
        <v>46241</v>
      </c>
      <c r="C335" t="s">
        <v>8</v>
      </c>
      <c r="D335" t="s">
        <v>17</v>
      </c>
      <c r="E335" t="s">
        <v>670</v>
      </c>
      <c r="F335" s="12">
        <v>33.04</v>
      </c>
      <c r="G335" s="12"/>
      <c r="H335" s="1">
        <v>46274</v>
      </c>
      <c r="J335" t="s">
        <v>609</v>
      </c>
    </row>
    <row r="336" spans="1:10" x14ac:dyDescent="0.25">
      <c r="A336" t="s">
        <v>467</v>
      </c>
      <c r="B336" s="1">
        <v>46241</v>
      </c>
      <c r="C336" t="s">
        <v>8</v>
      </c>
      <c r="D336" t="s">
        <v>237</v>
      </c>
      <c r="E336" t="s">
        <v>671</v>
      </c>
      <c r="F336" s="12">
        <v>16</v>
      </c>
      <c r="G336" s="12"/>
      <c r="H336" s="1">
        <v>46274</v>
      </c>
      <c r="J336" t="s">
        <v>672</v>
      </c>
    </row>
    <row r="337" spans="1:10" x14ac:dyDescent="0.25">
      <c r="A337" t="s">
        <v>467</v>
      </c>
      <c r="B337" s="1">
        <v>46241</v>
      </c>
      <c r="C337" t="s">
        <v>8</v>
      </c>
      <c r="D337" t="s">
        <v>237</v>
      </c>
      <c r="E337" t="s">
        <v>673</v>
      </c>
      <c r="F337" s="12">
        <v>20</v>
      </c>
      <c r="G337" s="12"/>
      <c r="H337" s="1">
        <v>46274</v>
      </c>
      <c r="J337" t="s">
        <v>674</v>
      </c>
    </row>
    <row r="338" spans="1:10" x14ac:dyDescent="0.25">
      <c r="A338" t="s">
        <v>467</v>
      </c>
      <c r="B338" s="1">
        <v>46241</v>
      </c>
      <c r="C338" t="s">
        <v>8</v>
      </c>
      <c r="D338" t="s">
        <v>675</v>
      </c>
      <c r="E338" t="s">
        <v>676</v>
      </c>
      <c r="F338" s="12">
        <v>4</v>
      </c>
      <c r="G338" s="12"/>
      <c r="H338" s="1">
        <v>46274</v>
      </c>
      <c r="J338" t="s">
        <v>677</v>
      </c>
    </row>
    <row r="339" spans="1:10" x14ac:dyDescent="0.25">
      <c r="A339" t="s">
        <v>467</v>
      </c>
      <c r="B339" s="1">
        <v>46241</v>
      </c>
      <c r="C339" t="s">
        <v>8</v>
      </c>
      <c r="D339" t="s">
        <v>675</v>
      </c>
      <c r="E339" t="s">
        <v>678</v>
      </c>
      <c r="F339" s="12">
        <v>24</v>
      </c>
      <c r="G339" s="12"/>
      <c r="H339" s="1">
        <v>46274</v>
      </c>
      <c r="J339" t="s">
        <v>679</v>
      </c>
    </row>
    <row r="340" spans="1:10" x14ac:dyDescent="0.25">
      <c r="A340" t="s">
        <v>554</v>
      </c>
      <c r="B340" s="1">
        <v>46204</v>
      </c>
      <c r="C340" t="s">
        <v>43</v>
      </c>
      <c r="D340" t="s">
        <v>273</v>
      </c>
      <c r="E340" t="s">
        <v>680</v>
      </c>
      <c r="F340" s="12">
        <v>448.8</v>
      </c>
      <c r="G340" s="12"/>
      <c r="H340" s="1">
        <v>46276</v>
      </c>
      <c r="J340" t="s">
        <v>681</v>
      </c>
    </row>
    <row r="341" spans="1:10" x14ac:dyDescent="0.25">
      <c r="A341" s="4" t="s">
        <v>529</v>
      </c>
      <c r="B341" s="5">
        <v>46171</v>
      </c>
      <c r="C341" s="4" t="s">
        <v>43</v>
      </c>
      <c r="D341" s="4" t="s">
        <v>530</v>
      </c>
      <c r="E341" s="4" t="s">
        <v>682</v>
      </c>
      <c r="F341" s="13">
        <v>551.25</v>
      </c>
      <c r="G341" s="13"/>
      <c r="H341" s="5">
        <v>46276</v>
      </c>
      <c r="I341" s="4" t="s">
        <v>697</v>
      </c>
      <c r="J341" s="4" t="s">
        <v>531</v>
      </c>
    </row>
    <row r="342" spans="1:10" x14ac:dyDescent="0.25">
      <c r="A342" t="s">
        <v>467</v>
      </c>
      <c r="B342" s="1">
        <v>46241</v>
      </c>
      <c r="C342" t="s">
        <v>8</v>
      </c>
      <c r="D342" t="s">
        <v>9</v>
      </c>
      <c r="E342" t="s">
        <v>683</v>
      </c>
      <c r="F342" s="12">
        <v>315</v>
      </c>
      <c r="G342" s="12"/>
      <c r="H342" s="1">
        <v>46278</v>
      </c>
      <c r="J342" t="s">
        <v>684</v>
      </c>
    </row>
    <row r="343" spans="1:10" x14ac:dyDescent="0.25">
      <c r="A343" t="s">
        <v>617</v>
      </c>
      <c r="B343" s="1">
        <v>46104</v>
      </c>
      <c r="C343" t="s">
        <v>43</v>
      </c>
      <c r="D343" t="s">
        <v>600</v>
      </c>
      <c r="E343" t="s">
        <v>685</v>
      </c>
      <c r="F343" s="12">
        <v>945.02</v>
      </c>
      <c r="G343" s="12"/>
      <c r="H343" s="1">
        <v>46281</v>
      </c>
      <c r="J343" t="s">
        <v>619</v>
      </c>
    </row>
    <row r="344" spans="1:10" x14ac:dyDescent="0.25">
      <c r="A344" t="s">
        <v>532</v>
      </c>
      <c r="B344" s="1">
        <v>46223</v>
      </c>
      <c r="C344" t="s">
        <v>43</v>
      </c>
      <c r="D344" t="s">
        <v>686</v>
      </c>
      <c r="E344" t="s">
        <v>687</v>
      </c>
      <c r="F344" s="12">
        <v>3030</v>
      </c>
      <c r="G344" s="12"/>
      <c r="H344" s="1">
        <v>46281</v>
      </c>
      <c r="J344" t="s">
        <v>688</v>
      </c>
    </row>
    <row r="345" spans="1:10" x14ac:dyDescent="0.25">
      <c r="A345" t="s">
        <v>467</v>
      </c>
      <c r="B345" s="1">
        <v>46241</v>
      </c>
      <c r="C345" t="s">
        <v>8</v>
      </c>
      <c r="D345" t="s">
        <v>675</v>
      </c>
      <c r="E345" t="s">
        <v>689</v>
      </c>
      <c r="F345" s="12">
        <v>4</v>
      </c>
      <c r="G345" s="12"/>
      <c r="H345" s="1">
        <v>46281</v>
      </c>
      <c r="J345" t="s">
        <v>690</v>
      </c>
    </row>
    <row r="346" spans="1:10" x14ac:dyDescent="0.25">
      <c r="A346" t="s">
        <v>532</v>
      </c>
      <c r="B346" s="1">
        <v>46223</v>
      </c>
      <c r="C346" t="s">
        <v>43</v>
      </c>
      <c r="D346" t="s">
        <v>691</v>
      </c>
      <c r="E346" t="s">
        <v>692</v>
      </c>
      <c r="F346" s="12">
        <v>3034.9</v>
      </c>
      <c r="G346" s="12"/>
      <c r="H346" s="1">
        <v>46288</v>
      </c>
      <c r="J346" t="s">
        <v>693</v>
      </c>
    </row>
    <row r="347" spans="1:10" x14ac:dyDescent="0.25">
      <c r="A347" t="s">
        <v>532</v>
      </c>
      <c r="B347" s="1">
        <v>46223</v>
      </c>
      <c r="C347" t="s">
        <v>43</v>
      </c>
      <c r="D347" t="s">
        <v>694</v>
      </c>
      <c r="E347" t="s">
        <v>695</v>
      </c>
      <c r="F347" s="12">
        <v>253</v>
      </c>
      <c r="G347" s="12"/>
      <c r="H347" s="1">
        <v>46288</v>
      </c>
      <c r="J347" t="s">
        <v>696</v>
      </c>
    </row>
    <row r="348" spans="1:10" x14ac:dyDescent="0.25">
      <c r="B348" s="1"/>
      <c r="F348" s="21">
        <f>SUBTOTAL(109,Tabla2[USD])</f>
        <v>95029.749999999956</v>
      </c>
      <c r="G348" s="22">
        <f>SUBTOTAL(109,Tabla2[PEN])</f>
        <v>15856.05</v>
      </c>
      <c r="H34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88E0-2D57-477A-8E2D-6C69885844A9}">
  <dimension ref="A1:J274"/>
  <sheetViews>
    <sheetView topLeftCell="A239" workbookViewId="0"/>
  </sheetViews>
  <sheetFormatPr baseColWidth="10" defaultRowHeight="15" x14ac:dyDescent="0.25"/>
  <cols>
    <col min="4" max="4" width="59.140625" bestFit="1" customWidth="1"/>
    <col min="10" max="10" width="33.140625" customWidth="1"/>
  </cols>
  <sheetData>
    <row r="1" spans="1:10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11</v>
      </c>
      <c r="G1" t="s">
        <v>739</v>
      </c>
      <c r="H1" t="s">
        <v>4</v>
      </c>
      <c r="I1" t="s">
        <v>403</v>
      </c>
      <c r="J1" t="s">
        <v>5</v>
      </c>
    </row>
    <row r="2" spans="1:10" x14ac:dyDescent="0.25">
      <c r="A2" t="s">
        <v>184</v>
      </c>
      <c r="B2" s="1">
        <v>46176</v>
      </c>
      <c r="C2" t="s">
        <v>43</v>
      </c>
      <c r="D2" t="s">
        <v>44</v>
      </c>
      <c r="E2" t="s">
        <v>185</v>
      </c>
      <c r="F2" s="23">
        <v>65</v>
      </c>
      <c r="G2" s="23"/>
      <c r="H2" s="1">
        <v>46204</v>
      </c>
      <c r="I2" t="s">
        <v>697</v>
      </c>
      <c r="J2" t="s">
        <v>186</v>
      </c>
    </row>
    <row r="3" spans="1:10" x14ac:dyDescent="0.25">
      <c r="A3" t="s">
        <v>198</v>
      </c>
      <c r="B3" s="1">
        <v>46184</v>
      </c>
      <c r="C3" t="s">
        <v>43</v>
      </c>
      <c r="D3" t="s">
        <v>793</v>
      </c>
      <c r="E3" t="s">
        <v>199</v>
      </c>
      <c r="F3" s="23">
        <v>28.32</v>
      </c>
      <c r="G3" s="23"/>
      <c r="H3" s="1">
        <v>46211</v>
      </c>
      <c r="I3" t="s">
        <v>837</v>
      </c>
      <c r="J3" t="s">
        <v>200</v>
      </c>
    </row>
    <row r="4" spans="1:10" x14ac:dyDescent="0.25">
      <c r="A4" t="s">
        <v>159</v>
      </c>
      <c r="B4" s="1">
        <v>46178</v>
      </c>
      <c r="C4" t="s">
        <v>43</v>
      </c>
      <c r="D4" t="s">
        <v>201</v>
      </c>
      <c r="E4" t="s">
        <v>202</v>
      </c>
      <c r="F4" s="23">
        <v>657.68</v>
      </c>
      <c r="G4" s="23"/>
      <c r="H4" s="1">
        <v>46211</v>
      </c>
      <c r="I4" t="s">
        <v>736</v>
      </c>
      <c r="J4" t="s">
        <v>203</v>
      </c>
    </row>
    <row r="5" spans="1:10" x14ac:dyDescent="0.25">
      <c r="A5" t="s">
        <v>204</v>
      </c>
      <c r="B5" s="1">
        <v>46211</v>
      </c>
      <c r="C5" t="s">
        <v>43</v>
      </c>
      <c r="D5" t="s">
        <v>205</v>
      </c>
      <c r="E5" t="s">
        <v>206</v>
      </c>
      <c r="F5" s="23">
        <v>60</v>
      </c>
      <c r="G5" s="23"/>
      <c r="H5" s="1">
        <v>46211</v>
      </c>
      <c r="J5" t="s">
        <v>207</v>
      </c>
    </row>
    <row r="6" spans="1:10" x14ac:dyDescent="0.25">
      <c r="A6" t="s">
        <v>184</v>
      </c>
      <c r="B6" s="1">
        <v>46163</v>
      </c>
      <c r="C6" t="s">
        <v>43</v>
      </c>
      <c r="D6" t="s">
        <v>793</v>
      </c>
      <c r="E6" t="s">
        <v>210</v>
      </c>
      <c r="F6" s="23">
        <v>66.08</v>
      </c>
      <c r="G6" s="23"/>
      <c r="H6" s="1">
        <v>46213</v>
      </c>
      <c r="J6" t="s">
        <v>211</v>
      </c>
    </row>
    <row r="7" spans="1:10" x14ac:dyDescent="0.25">
      <c r="A7" t="s">
        <v>212</v>
      </c>
      <c r="B7" s="1">
        <v>46204</v>
      </c>
      <c r="C7" t="s">
        <v>43</v>
      </c>
      <c r="D7" t="s">
        <v>201</v>
      </c>
      <c r="E7" t="s">
        <v>213</v>
      </c>
      <c r="F7" s="23">
        <v>467.56</v>
      </c>
      <c r="G7" s="23"/>
      <c r="H7" s="1">
        <v>46213</v>
      </c>
      <c r="J7" t="s">
        <v>214</v>
      </c>
    </row>
    <row r="8" spans="1:10" x14ac:dyDescent="0.25">
      <c r="A8" t="s">
        <v>204</v>
      </c>
      <c r="B8" s="1">
        <v>46219</v>
      </c>
      <c r="C8" t="s">
        <v>43</v>
      </c>
      <c r="D8" t="s">
        <v>240</v>
      </c>
      <c r="E8" t="s">
        <v>241</v>
      </c>
      <c r="F8" s="23"/>
      <c r="G8" s="23">
        <v>528.5</v>
      </c>
      <c r="H8" s="1">
        <v>46220</v>
      </c>
      <c r="J8" t="s">
        <v>242</v>
      </c>
    </row>
    <row r="9" spans="1:10" x14ac:dyDescent="0.25">
      <c r="A9" t="s">
        <v>184</v>
      </c>
      <c r="B9" s="1">
        <v>46216</v>
      </c>
      <c r="C9" t="s">
        <v>43</v>
      </c>
      <c r="D9" t="s">
        <v>237</v>
      </c>
      <c r="E9" t="s">
        <v>243</v>
      </c>
      <c r="F9" s="23">
        <v>112</v>
      </c>
      <c r="G9" s="23"/>
      <c r="H9" s="1">
        <v>46220</v>
      </c>
      <c r="I9" t="s">
        <v>844</v>
      </c>
      <c r="J9" t="s">
        <v>244</v>
      </c>
    </row>
    <row r="10" spans="1:10" x14ac:dyDescent="0.25">
      <c r="A10" t="s">
        <v>198</v>
      </c>
      <c r="B10" s="1">
        <v>46184</v>
      </c>
      <c r="C10" t="s">
        <v>43</v>
      </c>
      <c r="D10" t="s">
        <v>17</v>
      </c>
      <c r="E10" t="s">
        <v>281</v>
      </c>
      <c r="F10" s="23">
        <v>115.64</v>
      </c>
      <c r="G10" s="23"/>
      <c r="H10" s="1">
        <v>46222</v>
      </c>
      <c r="I10" t="s">
        <v>874</v>
      </c>
      <c r="J10" t="s">
        <v>282</v>
      </c>
    </row>
    <row r="11" spans="1:10" x14ac:dyDescent="0.25">
      <c r="A11" t="s">
        <v>287</v>
      </c>
      <c r="B11" s="1">
        <v>46227</v>
      </c>
      <c r="C11" t="s">
        <v>43</v>
      </c>
      <c r="D11" t="s">
        <v>17</v>
      </c>
      <c r="E11" t="s">
        <v>288</v>
      </c>
      <c r="F11" s="23">
        <v>417.72</v>
      </c>
      <c r="G11" s="23"/>
      <c r="H11" s="1">
        <v>46225</v>
      </c>
      <c r="J11" t="s">
        <v>289</v>
      </c>
    </row>
    <row r="12" spans="1:10" x14ac:dyDescent="0.25">
      <c r="A12" t="s">
        <v>348</v>
      </c>
      <c r="B12" s="1">
        <v>46233</v>
      </c>
      <c r="C12" t="s">
        <v>43</v>
      </c>
      <c r="D12" t="s">
        <v>349</v>
      </c>
      <c r="E12" t="s">
        <v>350</v>
      </c>
      <c r="F12" s="23">
        <v>520</v>
      </c>
      <c r="G12" s="23"/>
      <c r="H12" s="1">
        <v>46232</v>
      </c>
      <c r="I12" t="s">
        <v>697</v>
      </c>
      <c r="J12" t="s">
        <v>351</v>
      </c>
    </row>
    <row r="13" spans="1:10" x14ac:dyDescent="0.25">
      <c r="A13" t="s">
        <v>290</v>
      </c>
      <c r="B13" s="1">
        <v>46181</v>
      </c>
      <c r="C13" t="s">
        <v>43</v>
      </c>
      <c r="D13" t="s">
        <v>339</v>
      </c>
      <c r="E13" t="s">
        <v>352</v>
      </c>
      <c r="F13" s="23"/>
      <c r="G13" s="23">
        <v>120</v>
      </c>
      <c r="H13" s="1">
        <v>46232</v>
      </c>
      <c r="I13" t="s">
        <v>697</v>
      </c>
      <c r="J13" t="s">
        <v>353</v>
      </c>
    </row>
    <row r="14" spans="1:10" x14ac:dyDescent="0.25">
      <c r="A14" t="s">
        <v>287</v>
      </c>
      <c r="B14" s="1">
        <v>46227</v>
      </c>
      <c r="C14" t="s">
        <v>43</v>
      </c>
      <c r="D14" t="s">
        <v>17</v>
      </c>
      <c r="E14" t="s">
        <v>355</v>
      </c>
      <c r="F14" s="23">
        <v>417.72</v>
      </c>
      <c r="G14" s="23"/>
      <c r="H14" s="1">
        <v>46232</v>
      </c>
      <c r="J14" t="s">
        <v>289</v>
      </c>
    </row>
    <row r="15" spans="1:10" x14ac:dyDescent="0.25">
      <c r="A15" t="s">
        <v>180</v>
      </c>
      <c r="B15" s="1">
        <v>46233</v>
      </c>
      <c r="C15" t="s">
        <v>43</v>
      </c>
      <c r="D15" t="s">
        <v>361</v>
      </c>
      <c r="E15" t="s">
        <v>362</v>
      </c>
      <c r="F15" s="23"/>
      <c r="G15" s="23">
        <v>651</v>
      </c>
      <c r="H15" s="1">
        <v>46233</v>
      </c>
      <c r="I15" t="s">
        <v>697</v>
      </c>
      <c r="J15" t="s">
        <v>363</v>
      </c>
    </row>
    <row r="16" spans="1:10" x14ac:dyDescent="0.25">
      <c r="A16" t="s">
        <v>180</v>
      </c>
      <c r="B16" s="1">
        <v>46233</v>
      </c>
      <c r="C16" t="s">
        <v>43</v>
      </c>
      <c r="D16" t="s">
        <v>361</v>
      </c>
      <c r="E16" t="s">
        <v>364</v>
      </c>
      <c r="F16" s="23">
        <v>15</v>
      </c>
      <c r="G16" s="23"/>
      <c r="H16" s="1">
        <v>46233</v>
      </c>
      <c r="I16" t="s">
        <v>697</v>
      </c>
      <c r="J16" t="s">
        <v>365</v>
      </c>
    </row>
    <row r="17" spans="1:10" x14ac:dyDescent="0.25">
      <c r="A17" t="s">
        <v>366</v>
      </c>
      <c r="B17" s="1">
        <v>46209</v>
      </c>
      <c r="C17" t="s">
        <v>43</v>
      </c>
      <c r="D17" t="s">
        <v>17</v>
      </c>
      <c r="E17" t="s">
        <v>367</v>
      </c>
      <c r="F17" s="23">
        <v>86.14</v>
      </c>
      <c r="G17" s="23"/>
      <c r="H17" s="1">
        <v>46233</v>
      </c>
      <c r="I17" t="s">
        <v>873</v>
      </c>
      <c r="J17" t="s">
        <v>368</v>
      </c>
    </row>
    <row r="18" spans="1:10" x14ac:dyDescent="0.25">
      <c r="A18" t="s">
        <v>366</v>
      </c>
      <c r="B18" s="1">
        <v>46234</v>
      </c>
      <c r="C18" t="s">
        <v>43</v>
      </c>
      <c r="D18" t="s">
        <v>371</v>
      </c>
      <c r="E18" t="s">
        <v>372</v>
      </c>
      <c r="F18" s="23">
        <v>1510.4</v>
      </c>
      <c r="G18" s="23"/>
      <c r="H18" s="1">
        <v>46234</v>
      </c>
      <c r="I18" t="s">
        <v>697</v>
      </c>
      <c r="J18" t="s">
        <v>373</v>
      </c>
    </row>
    <row r="19" spans="1:10" x14ac:dyDescent="0.25">
      <c r="A19" t="s">
        <v>366</v>
      </c>
      <c r="B19" s="1">
        <v>46233</v>
      </c>
      <c r="C19" t="s">
        <v>43</v>
      </c>
      <c r="D19" t="s">
        <v>374</v>
      </c>
      <c r="E19" t="s">
        <v>375</v>
      </c>
      <c r="F19" s="23"/>
      <c r="G19" s="23">
        <v>200</v>
      </c>
      <c r="H19" s="1">
        <v>46234</v>
      </c>
      <c r="I19" t="s">
        <v>697</v>
      </c>
      <c r="J19" t="s">
        <v>376</v>
      </c>
    </row>
    <row r="20" spans="1:10" x14ac:dyDescent="0.25">
      <c r="A20" t="s">
        <v>366</v>
      </c>
      <c r="B20" s="1">
        <v>46209</v>
      </c>
      <c r="C20" t="s">
        <v>43</v>
      </c>
      <c r="D20" t="s">
        <v>377</v>
      </c>
      <c r="E20" t="s">
        <v>378</v>
      </c>
      <c r="F20" s="23"/>
      <c r="G20" s="23">
        <v>520.38</v>
      </c>
      <c r="H20" s="1">
        <v>46234</v>
      </c>
      <c r="I20" t="s">
        <v>697</v>
      </c>
      <c r="J20" t="s">
        <v>379</v>
      </c>
    </row>
    <row r="21" spans="1:10" x14ac:dyDescent="0.25">
      <c r="A21" t="s">
        <v>159</v>
      </c>
      <c r="B21" s="1">
        <v>46178</v>
      </c>
      <c r="C21" t="s">
        <v>43</v>
      </c>
      <c r="D21" t="s">
        <v>9</v>
      </c>
      <c r="E21" t="s">
        <v>410</v>
      </c>
      <c r="F21" s="23">
        <v>227.5</v>
      </c>
      <c r="G21" s="23"/>
      <c r="H21" s="1">
        <v>46236</v>
      </c>
      <c r="I21" t="s">
        <v>789</v>
      </c>
      <c r="J21" t="s">
        <v>411</v>
      </c>
    </row>
    <row r="22" spans="1:10" x14ac:dyDescent="0.25">
      <c r="A22" t="s">
        <v>198</v>
      </c>
      <c r="B22" s="1">
        <v>46184</v>
      </c>
      <c r="C22" t="s">
        <v>43</v>
      </c>
      <c r="D22" t="s">
        <v>793</v>
      </c>
      <c r="E22" t="s">
        <v>414</v>
      </c>
      <c r="F22" s="23">
        <v>66.08</v>
      </c>
      <c r="G22" s="23"/>
      <c r="H22" s="1">
        <v>46237</v>
      </c>
      <c r="I22" t="s">
        <v>837</v>
      </c>
      <c r="J22" t="s">
        <v>200</v>
      </c>
    </row>
    <row r="23" spans="1:10" x14ac:dyDescent="0.25">
      <c r="A23" s="2" t="s">
        <v>348</v>
      </c>
      <c r="B23" s="3">
        <v>46203</v>
      </c>
      <c r="C23" s="2" t="s">
        <v>43</v>
      </c>
      <c r="D23" s="2" t="s">
        <v>273</v>
      </c>
      <c r="E23" s="2" t="s">
        <v>415</v>
      </c>
      <c r="F23" s="24">
        <v>448.8</v>
      </c>
      <c r="G23" s="24"/>
      <c r="H23" s="3">
        <v>46237</v>
      </c>
      <c r="I23" s="2" t="s">
        <v>965</v>
      </c>
      <c r="J23" s="2" t="s">
        <v>416</v>
      </c>
    </row>
    <row r="24" spans="1:10" x14ac:dyDescent="0.25">
      <c r="A24" t="s">
        <v>180</v>
      </c>
      <c r="B24" s="1">
        <v>46237</v>
      </c>
      <c r="C24" t="s">
        <v>43</v>
      </c>
      <c r="D24" t="s">
        <v>417</v>
      </c>
      <c r="E24" t="s">
        <v>418</v>
      </c>
      <c r="F24" s="23"/>
      <c r="G24" s="23">
        <v>500</v>
      </c>
      <c r="H24" s="1">
        <v>46237</v>
      </c>
      <c r="I24" t="s">
        <v>697</v>
      </c>
      <c r="J24" t="s">
        <v>419</v>
      </c>
    </row>
    <row r="25" spans="1:10" x14ac:dyDescent="0.25">
      <c r="A25" t="s">
        <v>180</v>
      </c>
      <c r="B25" s="1">
        <v>46237</v>
      </c>
      <c r="C25" t="s">
        <v>43</v>
      </c>
      <c r="D25" t="s">
        <v>417</v>
      </c>
      <c r="E25" t="s">
        <v>420</v>
      </c>
      <c r="F25" s="23"/>
      <c r="G25" s="23">
        <v>500</v>
      </c>
      <c r="H25" s="1">
        <v>46237</v>
      </c>
      <c r="I25" t="s">
        <v>697</v>
      </c>
      <c r="J25" t="s">
        <v>419</v>
      </c>
    </row>
    <row r="26" spans="1:10" x14ac:dyDescent="0.25">
      <c r="A26" t="s">
        <v>180</v>
      </c>
      <c r="B26" s="1">
        <v>46237</v>
      </c>
      <c r="C26" t="s">
        <v>43</v>
      </c>
      <c r="D26" t="s">
        <v>417</v>
      </c>
      <c r="E26" t="s">
        <v>421</v>
      </c>
      <c r="F26" s="23"/>
      <c r="G26" s="23">
        <v>605.9</v>
      </c>
      <c r="H26" s="1">
        <v>46237</v>
      </c>
      <c r="I26" t="s">
        <v>697</v>
      </c>
      <c r="J26" t="s">
        <v>422</v>
      </c>
    </row>
    <row r="27" spans="1:10" x14ac:dyDescent="0.25">
      <c r="A27" t="s">
        <v>180</v>
      </c>
      <c r="B27" s="1">
        <v>46237</v>
      </c>
      <c r="C27" t="s">
        <v>43</v>
      </c>
      <c r="D27" t="s">
        <v>417</v>
      </c>
      <c r="E27" t="s">
        <v>423</v>
      </c>
      <c r="F27" s="23"/>
      <c r="G27" s="23">
        <v>605.89</v>
      </c>
      <c r="H27" s="1">
        <v>46237</v>
      </c>
      <c r="I27" t="s">
        <v>697</v>
      </c>
      <c r="J27" t="s">
        <v>422</v>
      </c>
    </row>
    <row r="28" spans="1:10" x14ac:dyDescent="0.25">
      <c r="A28" t="s">
        <v>366</v>
      </c>
      <c r="B28" s="1">
        <v>46237</v>
      </c>
      <c r="C28" t="s">
        <v>43</v>
      </c>
      <c r="D28" t="s">
        <v>424</v>
      </c>
      <c r="E28" t="s">
        <v>425</v>
      </c>
      <c r="F28" s="23"/>
      <c r="G28" s="23">
        <v>80</v>
      </c>
      <c r="H28" s="1">
        <v>46237</v>
      </c>
      <c r="I28" t="s">
        <v>697</v>
      </c>
      <c r="J28" t="s">
        <v>426</v>
      </c>
    </row>
    <row r="29" spans="1:10" x14ac:dyDescent="0.25">
      <c r="A29" t="s">
        <v>366</v>
      </c>
      <c r="B29" s="1">
        <v>46237</v>
      </c>
      <c r="C29" t="s">
        <v>43</v>
      </c>
      <c r="D29" t="s">
        <v>427</v>
      </c>
      <c r="E29" t="s">
        <v>428</v>
      </c>
      <c r="F29" s="23"/>
      <c r="G29" s="23">
        <v>320</v>
      </c>
      <c r="H29" s="1">
        <v>46237</v>
      </c>
      <c r="I29" t="s">
        <v>697</v>
      </c>
      <c r="J29" t="s">
        <v>429</v>
      </c>
    </row>
    <row r="30" spans="1:10" x14ac:dyDescent="0.25">
      <c r="A30" t="s">
        <v>180</v>
      </c>
      <c r="B30" s="1">
        <v>46238</v>
      </c>
      <c r="C30" t="s">
        <v>43</v>
      </c>
      <c r="D30" t="s">
        <v>430</v>
      </c>
      <c r="E30" t="s">
        <v>431</v>
      </c>
      <c r="F30" s="23"/>
      <c r="G30" s="23">
        <v>20</v>
      </c>
      <c r="H30" s="1">
        <v>46238</v>
      </c>
      <c r="I30" t="s">
        <v>697</v>
      </c>
      <c r="J30" t="s">
        <v>432</v>
      </c>
    </row>
    <row r="31" spans="1:10" x14ac:dyDescent="0.25">
      <c r="A31" t="s">
        <v>180</v>
      </c>
      <c r="B31" s="1">
        <v>46238</v>
      </c>
      <c r="C31" t="s">
        <v>43</v>
      </c>
      <c r="D31" t="s">
        <v>433</v>
      </c>
      <c r="E31" t="s">
        <v>434</v>
      </c>
      <c r="F31" s="23">
        <v>154.36000000000001</v>
      </c>
      <c r="G31" s="23"/>
      <c r="H31" s="1">
        <v>46238</v>
      </c>
      <c r="I31" t="s">
        <v>697</v>
      </c>
      <c r="J31" t="s">
        <v>435</v>
      </c>
    </row>
    <row r="32" spans="1:10" x14ac:dyDescent="0.25">
      <c r="A32" t="s">
        <v>180</v>
      </c>
      <c r="B32" s="1">
        <v>46238</v>
      </c>
      <c r="C32" t="s">
        <v>43</v>
      </c>
      <c r="D32" t="s">
        <v>433</v>
      </c>
      <c r="E32" t="s">
        <v>436</v>
      </c>
      <c r="F32" s="23">
        <v>299.64</v>
      </c>
      <c r="G32" s="23"/>
      <c r="H32" s="1">
        <v>46238</v>
      </c>
      <c r="I32" t="s">
        <v>697</v>
      </c>
      <c r="J32" t="s">
        <v>435</v>
      </c>
    </row>
    <row r="33" spans="1:10" x14ac:dyDescent="0.25">
      <c r="A33" t="s">
        <v>180</v>
      </c>
      <c r="B33" s="1">
        <v>46238</v>
      </c>
      <c r="C33" t="s">
        <v>43</v>
      </c>
      <c r="D33" t="s">
        <v>437</v>
      </c>
      <c r="E33" t="s">
        <v>438</v>
      </c>
      <c r="F33" s="23">
        <v>545</v>
      </c>
      <c r="G33" s="23"/>
      <c r="H33" s="1">
        <v>46238</v>
      </c>
      <c r="I33" t="s">
        <v>697</v>
      </c>
      <c r="J33" t="s">
        <v>439</v>
      </c>
    </row>
    <row r="34" spans="1:10" x14ac:dyDescent="0.25">
      <c r="A34" t="s">
        <v>180</v>
      </c>
      <c r="B34" s="1">
        <v>46238</v>
      </c>
      <c r="C34" t="s">
        <v>43</v>
      </c>
      <c r="D34" t="s">
        <v>437</v>
      </c>
      <c r="E34" t="s">
        <v>440</v>
      </c>
      <c r="F34" s="23">
        <v>95</v>
      </c>
      <c r="G34" s="23"/>
      <c r="H34" s="1">
        <v>46238</v>
      </c>
      <c r="I34" t="s">
        <v>697</v>
      </c>
      <c r="J34" t="s">
        <v>441</v>
      </c>
    </row>
    <row r="35" spans="1:10" x14ac:dyDescent="0.25">
      <c r="A35" t="s">
        <v>442</v>
      </c>
      <c r="B35" s="1">
        <v>46237</v>
      </c>
      <c r="C35" t="s">
        <v>43</v>
      </c>
      <c r="D35" t="s">
        <v>443</v>
      </c>
      <c r="E35" t="s">
        <v>444</v>
      </c>
      <c r="F35" s="23">
        <v>2578</v>
      </c>
      <c r="G35" s="23"/>
      <c r="H35" s="1">
        <v>46238</v>
      </c>
      <c r="I35" t="s">
        <v>697</v>
      </c>
      <c r="J35" t="s">
        <v>445</v>
      </c>
    </row>
    <row r="36" spans="1:10" x14ac:dyDescent="0.25">
      <c r="A36" t="s">
        <v>287</v>
      </c>
      <c r="B36" s="1">
        <v>46230</v>
      </c>
      <c r="C36" t="s">
        <v>43</v>
      </c>
      <c r="D36" t="s">
        <v>451</v>
      </c>
      <c r="E36" t="s">
        <v>452</v>
      </c>
      <c r="F36" s="23">
        <v>332.76</v>
      </c>
      <c r="G36" s="23"/>
      <c r="H36" s="1">
        <v>46239</v>
      </c>
      <c r="I36" t="s">
        <v>791</v>
      </c>
      <c r="J36" t="s">
        <v>453</v>
      </c>
    </row>
    <row r="37" spans="1:10" x14ac:dyDescent="0.25">
      <c r="A37" t="s">
        <v>348</v>
      </c>
      <c r="B37" s="1">
        <v>46233</v>
      </c>
      <c r="C37" t="s">
        <v>43</v>
      </c>
      <c r="D37" t="s">
        <v>349</v>
      </c>
      <c r="E37" t="s">
        <v>454</v>
      </c>
      <c r="F37" s="23">
        <v>62</v>
      </c>
      <c r="G37" s="23"/>
      <c r="H37" s="1">
        <v>46239</v>
      </c>
      <c r="I37" t="s">
        <v>697</v>
      </c>
      <c r="J37" t="s">
        <v>455</v>
      </c>
    </row>
    <row r="38" spans="1:10" x14ac:dyDescent="0.25">
      <c r="A38" t="s">
        <v>446</v>
      </c>
      <c r="B38" s="1">
        <v>46238</v>
      </c>
      <c r="C38" t="s">
        <v>43</v>
      </c>
      <c r="D38" t="s">
        <v>266</v>
      </c>
      <c r="E38" t="s">
        <v>456</v>
      </c>
      <c r="F38" s="23">
        <v>365.9</v>
      </c>
      <c r="G38" s="23"/>
      <c r="H38" s="1">
        <v>46239</v>
      </c>
      <c r="I38" t="s">
        <v>698</v>
      </c>
      <c r="J38" t="s">
        <v>457</v>
      </c>
    </row>
    <row r="39" spans="1:10" x14ac:dyDescent="0.25">
      <c r="A39" t="s">
        <v>366</v>
      </c>
      <c r="B39" s="1">
        <v>46239</v>
      </c>
      <c r="C39" t="s">
        <v>43</v>
      </c>
      <c r="D39" t="s">
        <v>427</v>
      </c>
      <c r="E39" t="s">
        <v>458</v>
      </c>
      <c r="F39" s="23"/>
      <c r="G39" s="23">
        <v>95</v>
      </c>
      <c r="H39" s="1">
        <v>46239</v>
      </c>
      <c r="I39" t="s">
        <v>697</v>
      </c>
      <c r="J39" t="s">
        <v>459</v>
      </c>
    </row>
    <row r="40" spans="1:10" x14ac:dyDescent="0.25">
      <c r="A40" t="s">
        <v>467</v>
      </c>
      <c r="B40" s="1">
        <v>46127</v>
      </c>
      <c r="C40" t="s">
        <v>43</v>
      </c>
      <c r="D40" t="s">
        <v>793</v>
      </c>
      <c r="E40" t="s">
        <v>468</v>
      </c>
      <c r="F40" s="23">
        <v>3382.47</v>
      </c>
      <c r="G40" s="23"/>
      <c r="H40" s="1">
        <v>46241</v>
      </c>
      <c r="I40" t="s">
        <v>699</v>
      </c>
      <c r="J40" t="s">
        <v>469</v>
      </c>
    </row>
    <row r="41" spans="1:10" x14ac:dyDescent="0.25">
      <c r="A41" s="2" t="s">
        <v>467</v>
      </c>
      <c r="B41" s="3">
        <v>46127</v>
      </c>
      <c r="C41" s="2" t="s">
        <v>43</v>
      </c>
      <c r="D41" s="2" t="s">
        <v>377</v>
      </c>
      <c r="E41" s="2" t="s">
        <v>470</v>
      </c>
      <c r="F41" s="24"/>
      <c r="G41" s="24">
        <v>4830</v>
      </c>
      <c r="H41" s="3">
        <v>46241</v>
      </c>
      <c r="I41" s="2" t="s">
        <v>965</v>
      </c>
      <c r="J41" s="2" t="s">
        <v>471</v>
      </c>
    </row>
    <row r="42" spans="1:10" x14ac:dyDescent="0.25">
      <c r="A42" s="2" t="s">
        <v>467</v>
      </c>
      <c r="B42" s="3">
        <v>46241</v>
      </c>
      <c r="C42" s="2" t="s">
        <v>43</v>
      </c>
      <c r="D42" s="2" t="s">
        <v>205</v>
      </c>
      <c r="E42" s="2" t="s">
        <v>518</v>
      </c>
      <c r="F42" s="24">
        <v>210</v>
      </c>
      <c r="G42" s="24"/>
      <c r="H42" s="3">
        <v>46244</v>
      </c>
      <c r="I42" s="2" t="s">
        <v>965</v>
      </c>
      <c r="J42" s="2" t="s">
        <v>519</v>
      </c>
    </row>
    <row r="43" spans="1:10" x14ac:dyDescent="0.25">
      <c r="A43" t="s">
        <v>467</v>
      </c>
      <c r="B43" s="1">
        <v>46241</v>
      </c>
      <c r="C43" t="s">
        <v>43</v>
      </c>
      <c r="D43" t="s">
        <v>17</v>
      </c>
      <c r="E43" t="s">
        <v>520</v>
      </c>
      <c r="F43" s="23">
        <v>120.95</v>
      </c>
      <c r="G43" s="23"/>
      <c r="H43" s="1">
        <v>46244</v>
      </c>
      <c r="J43" t="s">
        <v>521</v>
      </c>
    </row>
    <row r="44" spans="1:10" x14ac:dyDescent="0.25">
      <c r="A44" t="s">
        <v>348</v>
      </c>
      <c r="B44" s="1">
        <v>46227</v>
      </c>
      <c r="C44" t="s">
        <v>43</v>
      </c>
      <c r="D44" t="s">
        <v>201</v>
      </c>
      <c r="E44" t="s">
        <v>527</v>
      </c>
      <c r="F44" s="23">
        <v>387.23</v>
      </c>
      <c r="G44" s="23"/>
      <c r="H44" s="1">
        <v>46246</v>
      </c>
      <c r="I44" t="s">
        <v>789</v>
      </c>
      <c r="J44" t="s">
        <v>528</v>
      </c>
    </row>
    <row r="45" spans="1:10" x14ac:dyDescent="0.25">
      <c r="A45" t="s">
        <v>467</v>
      </c>
      <c r="B45" s="1">
        <v>46245</v>
      </c>
      <c r="C45" t="s">
        <v>43</v>
      </c>
      <c r="D45" t="s">
        <v>743</v>
      </c>
      <c r="E45" t="s">
        <v>744</v>
      </c>
      <c r="F45" s="23">
        <v>1684.76</v>
      </c>
      <c r="G45" s="23"/>
      <c r="H45" s="1">
        <v>46246</v>
      </c>
      <c r="I45" t="s">
        <v>697</v>
      </c>
      <c r="J45" t="s">
        <v>745</v>
      </c>
    </row>
    <row r="46" spans="1:10" x14ac:dyDescent="0.25">
      <c r="A46" s="2" t="s">
        <v>924</v>
      </c>
      <c r="B46" s="3">
        <v>46246</v>
      </c>
      <c r="C46" s="2" t="s">
        <v>43</v>
      </c>
      <c r="D46" s="2" t="s">
        <v>931</v>
      </c>
      <c r="E46" s="2" t="s">
        <v>932</v>
      </c>
      <c r="F46" s="24"/>
      <c r="G46" s="24">
        <v>1449.01</v>
      </c>
      <c r="H46" s="3">
        <v>46246</v>
      </c>
      <c r="I46" s="2" t="s">
        <v>965</v>
      </c>
      <c r="J46" s="2" t="s">
        <v>933</v>
      </c>
    </row>
    <row r="47" spans="1:10" x14ac:dyDescent="0.25">
      <c r="A47" t="s">
        <v>903</v>
      </c>
      <c r="B47" s="1">
        <v>46247</v>
      </c>
      <c r="C47" t="s">
        <v>43</v>
      </c>
      <c r="D47" t="s">
        <v>904</v>
      </c>
      <c r="E47" t="s">
        <v>905</v>
      </c>
      <c r="F47" s="23">
        <v>1744.52</v>
      </c>
      <c r="G47" s="23"/>
      <c r="H47" s="1">
        <v>46247</v>
      </c>
      <c r="I47" t="s">
        <v>697</v>
      </c>
      <c r="J47" t="s">
        <v>906</v>
      </c>
    </row>
    <row r="48" spans="1:10" x14ac:dyDescent="0.25">
      <c r="A48" t="s">
        <v>907</v>
      </c>
      <c r="B48" s="1">
        <v>46247</v>
      </c>
      <c r="C48" t="s">
        <v>43</v>
      </c>
      <c r="D48" t="s">
        <v>904</v>
      </c>
      <c r="E48" t="s">
        <v>908</v>
      </c>
      <c r="F48" s="23">
        <v>429.74</v>
      </c>
      <c r="G48" s="23"/>
      <c r="H48" s="1">
        <v>46247</v>
      </c>
      <c r="I48" t="s">
        <v>697</v>
      </c>
      <c r="J48" t="s">
        <v>909</v>
      </c>
    </row>
    <row r="49" spans="1:10" x14ac:dyDescent="0.25">
      <c r="A49" s="2" t="s">
        <v>366</v>
      </c>
      <c r="B49" s="3">
        <v>46248</v>
      </c>
      <c r="C49" s="2" t="s">
        <v>43</v>
      </c>
      <c r="D49" s="2" t="s">
        <v>793</v>
      </c>
      <c r="E49" s="2" t="s">
        <v>897</v>
      </c>
      <c r="F49" s="24">
        <v>14.35</v>
      </c>
      <c r="G49" s="24"/>
      <c r="H49" s="3">
        <v>46248</v>
      </c>
      <c r="I49" s="2" t="s">
        <v>965</v>
      </c>
      <c r="J49" s="2" t="s">
        <v>898</v>
      </c>
    </row>
    <row r="50" spans="1:10" x14ac:dyDescent="0.25">
      <c r="A50" s="2" t="s">
        <v>366</v>
      </c>
      <c r="B50" s="3">
        <v>46248</v>
      </c>
      <c r="C50" s="2" t="s">
        <v>43</v>
      </c>
      <c r="D50" s="2" t="s">
        <v>793</v>
      </c>
      <c r="E50" s="2" t="s">
        <v>899</v>
      </c>
      <c r="F50" s="24">
        <v>26.65</v>
      </c>
      <c r="G50" s="24"/>
      <c r="H50" s="3">
        <v>46248</v>
      </c>
      <c r="I50" s="2" t="s">
        <v>965</v>
      </c>
      <c r="J50" s="2" t="s">
        <v>898</v>
      </c>
    </row>
    <row r="51" spans="1:10" x14ac:dyDescent="0.25">
      <c r="A51" s="2" t="s">
        <v>949</v>
      </c>
      <c r="B51" s="3">
        <v>46248</v>
      </c>
      <c r="C51" s="2" t="s">
        <v>43</v>
      </c>
      <c r="D51" s="2" t="s">
        <v>793</v>
      </c>
      <c r="E51" s="2" t="s">
        <v>950</v>
      </c>
      <c r="F51" s="24">
        <v>403.09</v>
      </c>
      <c r="G51" s="24"/>
      <c r="H51" s="3">
        <v>46248</v>
      </c>
      <c r="I51" s="2" t="s">
        <v>965</v>
      </c>
      <c r="J51" s="2" t="s">
        <v>951</v>
      </c>
    </row>
    <row r="52" spans="1:10" x14ac:dyDescent="0.25">
      <c r="A52" t="s">
        <v>287</v>
      </c>
      <c r="B52" s="1">
        <v>46248</v>
      </c>
      <c r="C52" t="s">
        <v>43</v>
      </c>
      <c r="D52" t="s">
        <v>952</v>
      </c>
      <c r="E52" t="s">
        <v>953</v>
      </c>
      <c r="F52" s="23">
        <v>445.5</v>
      </c>
      <c r="G52" s="23"/>
      <c r="H52" s="1">
        <v>46248</v>
      </c>
      <c r="I52" t="s">
        <v>697</v>
      </c>
      <c r="J52" t="s">
        <v>954</v>
      </c>
    </row>
    <row r="53" spans="1:10" x14ac:dyDescent="0.25">
      <c r="A53" t="s">
        <v>910</v>
      </c>
      <c r="B53" s="1">
        <v>46248</v>
      </c>
      <c r="C53" t="s">
        <v>43</v>
      </c>
      <c r="D53" t="s">
        <v>904</v>
      </c>
      <c r="E53" t="s">
        <v>911</v>
      </c>
      <c r="F53" s="23">
        <v>452.18</v>
      </c>
      <c r="G53" s="23"/>
      <c r="H53" s="1">
        <v>46248</v>
      </c>
      <c r="I53" t="s">
        <v>697</v>
      </c>
      <c r="J53" t="s">
        <v>912</v>
      </c>
    </row>
    <row r="54" spans="1:10" x14ac:dyDescent="0.25">
      <c r="A54" t="s">
        <v>910</v>
      </c>
      <c r="B54" s="1">
        <v>46248</v>
      </c>
      <c r="C54" t="s">
        <v>43</v>
      </c>
      <c r="D54" t="s">
        <v>904</v>
      </c>
      <c r="E54" t="s">
        <v>955</v>
      </c>
      <c r="F54" s="23">
        <v>889.56</v>
      </c>
      <c r="G54" s="23"/>
      <c r="H54" s="1">
        <v>46248</v>
      </c>
      <c r="I54" t="s">
        <v>697</v>
      </c>
      <c r="J54" t="s">
        <v>956</v>
      </c>
    </row>
    <row r="55" spans="1:10" x14ac:dyDescent="0.25">
      <c r="A55" t="s">
        <v>554</v>
      </c>
      <c r="B55" s="1">
        <v>46248</v>
      </c>
      <c r="C55" t="s">
        <v>43</v>
      </c>
      <c r="D55" t="s">
        <v>266</v>
      </c>
      <c r="E55" t="s">
        <v>957</v>
      </c>
      <c r="F55" s="23">
        <v>664.8</v>
      </c>
      <c r="G55" s="23"/>
      <c r="H55" s="1">
        <v>46251</v>
      </c>
      <c r="J55" t="s">
        <v>958</v>
      </c>
    </row>
    <row r="56" spans="1:10" x14ac:dyDescent="0.25">
      <c r="A56" t="s">
        <v>554</v>
      </c>
      <c r="B56" s="1">
        <v>46248</v>
      </c>
      <c r="C56" t="s">
        <v>43</v>
      </c>
      <c r="D56" t="s">
        <v>266</v>
      </c>
      <c r="E56" t="s">
        <v>959</v>
      </c>
      <c r="F56" s="23">
        <v>664.8</v>
      </c>
      <c r="G56" s="23"/>
      <c r="H56" s="1">
        <v>46251</v>
      </c>
      <c r="J56" t="s">
        <v>958</v>
      </c>
    </row>
    <row r="57" spans="1:10" x14ac:dyDescent="0.25">
      <c r="A57" s="2" t="s">
        <v>949</v>
      </c>
      <c r="B57" s="3">
        <v>46248</v>
      </c>
      <c r="C57" s="2" t="s">
        <v>43</v>
      </c>
      <c r="D57" s="2" t="s">
        <v>960</v>
      </c>
      <c r="E57" s="2" t="s">
        <v>961</v>
      </c>
      <c r="F57" s="24">
        <v>140.16</v>
      </c>
      <c r="G57" s="24"/>
      <c r="H57" s="3">
        <v>46251</v>
      </c>
      <c r="I57" s="2" t="s">
        <v>965</v>
      </c>
      <c r="J57" s="2" t="s">
        <v>962</v>
      </c>
    </row>
    <row r="58" spans="1:10" x14ac:dyDescent="0.25">
      <c r="A58" s="2" t="s">
        <v>924</v>
      </c>
      <c r="B58" s="3">
        <v>46248</v>
      </c>
      <c r="C58" s="2" t="s">
        <v>43</v>
      </c>
      <c r="D58" s="2" t="s">
        <v>923</v>
      </c>
      <c r="E58" s="2" t="s">
        <v>925</v>
      </c>
      <c r="F58" s="24">
        <v>2323.13</v>
      </c>
      <c r="G58" s="24"/>
      <c r="H58" s="3">
        <v>46251</v>
      </c>
      <c r="I58" s="2" t="s">
        <v>965</v>
      </c>
      <c r="J58" s="2" t="s">
        <v>926</v>
      </c>
    </row>
    <row r="59" spans="1:10" x14ac:dyDescent="0.25">
      <c r="A59" s="2" t="s">
        <v>924</v>
      </c>
      <c r="B59" s="3">
        <v>46248</v>
      </c>
      <c r="C59" s="2" t="s">
        <v>43</v>
      </c>
      <c r="D59" s="2" t="s">
        <v>923</v>
      </c>
      <c r="E59" s="2" t="s">
        <v>927</v>
      </c>
      <c r="F59" s="24">
        <v>13164.37</v>
      </c>
      <c r="G59" s="24"/>
      <c r="H59" s="3">
        <v>46251</v>
      </c>
      <c r="I59" s="2" t="s">
        <v>965</v>
      </c>
      <c r="J59" s="2" t="s">
        <v>926</v>
      </c>
    </row>
    <row r="60" spans="1:10" x14ac:dyDescent="0.25">
      <c r="A60" s="2" t="s">
        <v>924</v>
      </c>
      <c r="B60" s="3">
        <v>46248</v>
      </c>
      <c r="C60" s="2" t="s">
        <v>43</v>
      </c>
      <c r="D60" s="2" t="s">
        <v>923</v>
      </c>
      <c r="E60" s="2" t="s">
        <v>928</v>
      </c>
      <c r="F60" s="24">
        <v>598.5</v>
      </c>
      <c r="G60" s="24"/>
      <c r="H60" s="3">
        <v>46251</v>
      </c>
      <c r="I60" s="2" t="s">
        <v>965</v>
      </c>
      <c r="J60" s="2" t="s">
        <v>929</v>
      </c>
    </row>
    <row r="61" spans="1:10" x14ac:dyDescent="0.25">
      <c r="A61" s="2" t="s">
        <v>924</v>
      </c>
      <c r="B61" s="3">
        <v>46248</v>
      </c>
      <c r="C61" s="2" t="s">
        <v>43</v>
      </c>
      <c r="D61" s="2" t="s">
        <v>923</v>
      </c>
      <c r="E61" s="2" t="s">
        <v>930</v>
      </c>
      <c r="F61" s="24">
        <v>3391.5</v>
      </c>
      <c r="G61" s="24"/>
      <c r="H61" s="3">
        <v>46251</v>
      </c>
      <c r="I61" s="2" t="s">
        <v>965</v>
      </c>
      <c r="J61" s="2" t="s">
        <v>929</v>
      </c>
    </row>
    <row r="62" spans="1:10" x14ac:dyDescent="0.25">
      <c r="A62" t="s">
        <v>467</v>
      </c>
      <c r="B62" s="1">
        <v>46241</v>
      </c>
      <c r="C62" t="s">
        <v>43</v>
      </c>
      <c r="D62" t="s">
        <v>153</v>
      </c>
      <c r="E62" t="s">
        <v>557</v>
      </c>
      <c r="F62" s="23"/>
      <c r="G62" s="23">
        <v>1260</v>
      </c>
      <c r="H62" s="1">
        <v>46253</v>
      </c>
      <c r="I62" t="s">
        <v>737</v>
      </c>
      <c r="J62" t="s">
        <v>558</v>
      </c>
    </row>
    <row r="63" spans="1:10" x14ac:dyDescent="0.25">
      <c r="A63" t="s">
        <v>554</v>
      </c>
      <c r="B63" s="1">
        <v>46239</v>
      </c>
      <c r="C63" t="s">
        <v>43</v>
      </c>
      <c r="D63" t="s">
        <v>201</v>
      </c>
      <c r="E63" t="s">
        <v>564</v>
      </c>
      <c r="F63" s="23">
        <v>387.23</v>
      </c>
      <c r="G63" s="23"/>
      <c r="H63" s="1">
        <v>46253</v>
      </c>
      <c r="I63" t="s">
        <v>789</v>
      </c>
      <c r="J63" t="s">
        <v>565</v>
      </c>
    </row>
    <row r="64" spans="1:10" x14ac:dyDescent="0.25">
      <c r="A64" s="2" t="s">
        <v>554</v>
      </c>
      <c r="B64" s="3">
        <v>46248</v>
      </c>
      <c r="C64" s="2" t="s">
        <v>43</v>
      </c>
      <c r="D64" s="2" t="s">
        <v>900</v>
      </c>
      <c r="E64" s="2" t="s">
        <v>901</v>
      </c>
      <c r="F64" s="24"/>
      <c r="G64" s="24">
        <v>30</v>
      </c>
      <c r="H64" s="3">
        <v>46253</v>
      </c>
      <c r="I64" s="2" t="s">
        <v>965</v>
      </c>
      <c r="J64" s="2" t="s">
        <v>902</v>
      </c>
    </row>
    <row r="65" spans="1:10" x14ac:dyDescent="0.25">
      <c r="A65" s="2" t="s">
        <v>532</v>
      </c>
      <c r="B65" s="3">
        <v>46223</v>
      </c>
      <c r="C65" s="2" t="s">
        <v>43</v>
      </c>
      <c r="D65" s="2" t="s">
        <v>443</v>
      </c>
      <c r="E65" s="2" t="s">
        <v>571</v>
      </c>
      <c r="F65" s="24">
        <v>2418</v>
      </c>
      <c r="G65" s="24"/>
      <c r="H65" s="3">
        <v>46253</v>
      </c>
      <c r="I65" s="2" t="s">
        <v>965</v>
      </c>
      <c r="J65" s="2" t="s">
        <v>572</v>
      </c>
    </row>
    <row r="66" spans="1:10" x14ac:dyDescent="0.25">
      <c r="A66" s="2" t="s">
        <v>554</v>
      </c>
      <c r="B66" s="3">
        <v>46248</v>
      </c>
      <c r="C66" s="2" t="s">
        <v>43</v>
      </c>
      <c r="D66" s="2" t="s">
        <v>918</v>
      </c>
      <c r="E66" s="2" t="s">
        <v>919</v>
      </c>
      <c r="F66" s="24">
        <v>36</v>
      </c>
      <c r="G66" s="24"/>
      <c r="H66" s="3">
        <v>46253</v>
      </c>
      <c r="I66" s="2" t="s">
        <v>965</v>
      </c>
      <c r="J66" s="2" t="s">
        <v>920</v>
      </c>
    </row>
    <row r="67" spans="1:10" x14ac:dyDescent="0.25">
      <c r="A67" s="2" t="s">
        <v>348</v>
      </c>
      <c r="B67" s="3">
        <v>46248</v>
      </c>
      <c r="C67" s="2" t="s">
        <v>43</v>
      </c>
      <c r="D67" s="2" t="s">
        <v>913</v>
      </c>
      <c r="E67" s="2" t="s">
        <v>914</v>
      </c>
      <c r="F67" s="24"/>
      <c r="G67" s="24">
        <v>900</v>
      </c>
      <c r="H67" s="3">
        <v>46254</v>
      </c>
      <c r="I67" s="2" t="s">
        <v>965</v>
      </c>
      <c r="J67" s="2" t="s">
        <v>915</v>
      </c>
    </row>
    <row r="68" spans="1:10" x14ac:dyDescent="0.25">
      <c r="A68" t="s">
        <v>554</v>
      </c>
      <c r="B68" s="1">
        <v>46248</v>
      </c>
      <c r="C68" t="s">
        <v>43</v>
      </c>
      <c r="D68" t="s">
        <v>894</v>
      </c>
      <c r="E68" t="s">
        <v>895</v>
      </c>
      <c r="F68" s="23">
        <v>74</v>
      </c>
      <c r="G68" s="23"/>
      <c r="H68" s="1">
        <v>46255</v>
      </c>
      <c r="J68" t="s">
        <v>896</v>
      </c>
    </row>
    <row r="69" spans="1:10" x14ac:dyDescent="0.25">
      <c r="A69" s="2" t="s">
        <v>287</v>
      </c>
      <c r="B69" s="3">
        <v>46237</v>
      </c>
      <c r="C69" s="2" t="s">
        <v>43</v>
      </c>
      <c r="D69" s="2" t="s">
        <v>112</v>
      </c>
      <c r="E69" s="2" t="s">
        <v>573</v>
      </c>
      <c r="F69" s="24">
        <v>22</v>
      </c>
      <c r="G69" s="24"/>
      <c r="H69" s="3">
        <v>46255</v>
      </c>
      <c r="I69" s="2" t="s">
        <v>965</v>
      </c>
      <c r="J69" s="2" t="s">
        <v>574</v>
      </c>
    </row>
    <row r="70" spans="1:10" x14ac:dyDescent="0.25">
      <c r="A70" t="s">
        <v>348</v>
      </c>
      <c r="B70" s="1">
        <v>46248</v>
      </c>
      <c r="C70" t="s">
        <v>43</v>
      </c>
      <c r="D70" t="s">
        <v>620</v>
      </c>
      <c r="E70" t="s">
        <v>921</v>
      </c>
      <c r="F70" s="23">
        <v>507.4</v>
      </c>
      <c r="G70" s="23"/>
      <c r="H70" s="1">
        <v>46255</v>
      </c>
      <c r="J70" t="s">
        <v>922</v>
      </c>
    </row>
    <row r="71" spans="1:10" x14ac:dyDescent="0.25">
      <c r="A71" s="2" t="s">
        <v>446</v>
      </c>
      <c r="B71" s="3">
        <v>46234</v>
      </c>
      <c r="C71" s="2" t="s">
        <v>43</v>
      </c>
      <c r="D71" s="2" t="s">
        <v>237</v>
      </c>
      <c r="E71" s="2" t="s">
        <v>575</v>
      </c>
      <c r="F71" s="24">
        <v>15</v>
      </c>
      <c r="G71" s="24"/>
      <c r="H71" s="3">
        <v>46255</v>
      </c>
      <c r="I71" s="2" t="s">
        <v>965</v>
      </c>
      <c r="J71" s="2" t="s">
        <v>576</v>
      </c>
    </row>
    <row r="72" spans="1:10" x14ac:dyDescent="0.25">
      <c r="A72" s="2" t="s">
        <v>348</v>
      </c>
      <c r="B72" s="3">
        <v>46200</v>
      </c>
      <c r="C72" s="2" t="s">
        <v>43</v>
      </c>
      <c r="D72" s="2" t="s">
        <v>237</v>
      </c>
      <c r="E72" s="2" t="s">
        <v>598</v>
      </c>
      <c r="F72" s="24">
        <v>85</v>
      </c>
      <c r="G72" s="24"/>
      <c r="H72" s="3">
        <v>46259</v>
      </c>
      <c r="I72" s="2" t="s">
        <v>965</v>
      </c>
      <c r="J72" s="2" t="s">
        <v>599</v>
      </c>
    </row>
    <row r="73" spans="1:10" x14ac:dyDescent="0.25">
      <c r="A73" t="s">
        <v>532</v>
      </c>
      <c r="B73" s="1">
        <v>46223</v>
      </c>
      <c r="C73" t="s">
        <v>43</v>
      </c>
      <c r="D73" t="s">
        <v>603</v>
      </c>
      <c r="E73" t="s">
        <v>604</v>
      </c>
      <c r="F73" s="23">
        <v>3866.4</v>
      </c>
      <c r="G73" s="23"/>
      <c r="H73" s="1">
        <v>46260</v>
      </c>
      <c r="J73" t="s">
        <v>605</v>
      </c>
    </row>
    <row r="74" spans="1:10" x14ac:dyDescent="0.25">
      <c r="A74" t="s">
        <v>467</v>
      </c>
      <c r="B74" s="1">
        <v>46241</v>
      </c>
      <c r="C74" t="s">
        <v>43</v>
      </c>
      <c r="D74" t="s">
        <v>17</v>
      </c>
      <c r="E74" t="s">
        <v>608</v>
      </c>
      <c r="F74" s="23">
        <v>33.04</v>
      </c>
      <c r="G74" s="23"/>
      <c r="H74" s="1">
        <v>46263</v>
      </c>
      <c r="J74" t="s">
        <v>609</v>
      </c>
    </row>
    <row r="75" spans="1:10" x14ac:dyDescent="0.25">
      <c r="A75" t="s">
        <v>442</v>
      </c>
      <c r="B75" s="1">
        <v>46248</v>
      </c>
      <c r="C75" t="s">
        <v>43</v>
      </c>
      <c r="D75" t="s">
        <v>447</v>
      </c>
      <c r="E75" t="s">
        <v>945</v>
      </c>
      <c r="F75" s="23"/>
      <c r="G75" s="23">
        <v>540</v>
      </c>
      <c r="H75" s="1">
        <v>46265</v>
      </c>
      <c r="J75" t="s">
        <v>946</v>
      </c>
    </row>
    <row r="76" spans="1:10" x14ac:dyDescent="0.25">
      <c r="A76" t="s">
        <v>554</v>
      </c>
      <c r="B76" s="1">
        <v>46239</v>
      </c>
      <c r="C76" t="s">
        <v>43</v>
      </c>
      <c r="D76" t="s">
        <v>620</v>
      </c>
      <c r="E76" t="s">
        <v>621</v>
      </c>
      <c r="F76" s="23">
        <v>507.4</v>
      </c>
      <c r="G76" s="23"/>
      <c r="H76" s="1">
        <v>46267</v>
      </c>
      <c r="J76" t="s">
        <v>622</v>
      </c>
    </row>
    <row r="77" spans="1:10" x14ac:dyDescent="0.25">
      <c r="A77" t="s">
        <v>554</v>
      </c>
      <c r="B77" s="1">
        <v>46248</v>
      </c>
      <c r="C77" t="s">
        <v>43</v>
      </c>
      <c r="D77" t="s">
        <v>451</v>
      </c>
      <c r="E77" t="s">
        <v>947</v>
      </c>
      <c r="F77" s="23">
        <v>344.56</v>
      </c>
      <c r="G77" s="23"/>
      <c r="H77" s="1">
        <v>46272</v>
      </c>
      <c r="J77" t="s">
        <v>948</v>
      </c>
    </row>
    <row r="78" spans="1:10" x14ac:dyDescent="0.25">
      <c r="A78" t="s">
        <v>554</v>
      </c>
      <c r="B78" s="1">
        <v>46248</v>
      </c>
      <c r="C78" t="s">
        <v>43</v>
      </c>
      <c r="D78" t="s">
        <v>392</v>
      </c>
      <c r="E78" t="s">
        <v>916</v>
      </c>
      <c r="F78" s="23"/>
      <c r="G78" s="23">
        <v>450</v>
      </c>
      <c r="H78" s="1">
        <v>46272</v>
      </c>
      <c r="J78" t="s">
        <v>917</v>
      </c>
    </row>
    <row r="79" spans="1:10" x14ac:dyDescent="0.25">
      <c r="A79" t="s">
        <v>532</v>
      </c>
      <c r="B79" s="1">
        <v>46223</v>
      </c>
      <c r="C79" t="s">
        <v>43</v>
      </c>
      <c r="D79" t="s">
        <v>628</v>
      </c>
      <c r="E79" t="s">
        <v>629</v>
      </c>
      <c r="F79" s="23">
        <v>1298</v>
      </c>
      <c r="G79" s="23"/>
      <c r="H79" s="1">
        <v>46274</v>
      </c>
      <c r="J79" t="s">
        <v>630</v>
      </c>
    </row>
    <row r="80" spans="1:10" x14ac:dyDescent="0.25">
      <c r="A80" t="s">
        <v>532</v>
      </c>
      <c r="B80" s="1">
        <v>46223</v>
      </c>
      <c r="C80" t="s">
        <v>43</v>
      </c>
      <c r="D80" t="s">
        <v>631</v>
      </c>
      <c r="E80" t="s">
        <v>632</v>
      </c>
      <c r="F80" s="23">
        <v>443.55</v>
      </c>
      <c r="G80" s="23"/>
      <c r="H80" s="1">
        <v>46274</v>
      </c>
      <c r="J80" t="s">
        <v>633</v>
      </c>
    </row>
    <row r="81" spans="1:10" x14ac:dyDescent="0.25">
      <c r="A81" t="s">
        <v>554</v>
      </c>
      <c r="B81" s="1">
        <v>46204</v>
      </c>
      <c r="C81" t="s">
        <v>43</v>
      </c>
      <c r="D81" t="s">
        <v>273</v>
      </c>
      <c r="E81" t="s">
        <v>680</v>
      </c>
      <c r="F81" s="23">
        <v>448.8</v>
      </c>
      <c r="G81" s="23"/>
      <c r="H81" s="1">
        <v>46276</v>
      </c>
      <c r="J81" t="s">
        <v>681</v>
      </c>
    </row>
    <row r="82" spans="1:10" x14ac:dyDescent="0.25">
      <c r="A82" t="s">
        <v>532</v>
      </c>
      <c r="B82" s="1">
        <v>46223</v>
      </c>
      <c r="C82" t="s">
        <v>43</v>
      </c>
      <c r="D82" t="s">
        <v>686</v>
      </c>
      <c r="E82" t="s">
        <v>687</v>
      </c>
      <c r="F82" s="23">
        <v>3030</v>
      </c>
      <c r="G82" s="23"/>
      <c r="H82" s="1">
        <v>46281</v>
      </c>
      <c r="J82" t="s">
        <v>688</v>
      </c>
    </row>
    <row r="83" spans="1:10" x14ac:dyDescent="0.25">
      <c r="A83" t="s">
        <v>532</v>
      </c>
      <c r="B83" s="1">
        <v>46223</v>
      </c>
      <c r="C83" t="s">
        <v>43</v>
      </c>
      <c r="D83" t="s">
        <v>691</v>
      </c>
      <c r="E83" t="s">
        <v>692</v>
      </c>
      <c r="F83" s="23">
        <v>3034.9</v>
      </c>
      <c r="G83" s="23"/>
      <c r="H83" s="1">
        <v>46288</v>
      </c>
      <c r="J83" t="s">
        <v>693</v>
      </c>
    </row>
    <row r="84" spans="1:10" x14ac:dyDescent="0.25">
      <c r="A84" t="s">
        <v>532</v>
      </c>
      <c r="B84" s="1">
        <v>46223</v>
      </c>
      <c r="C84" t="s">
        <v>43</v>
      </c>
      <c r="D84" t="s">
        <v>694</v>
      </c>
      <c r="E84" t="s">
        <v>695</v>
      </c>
      <c r="F84" s="23">
        <v>253</v>
      </c>
      <c r="G84" s="23"/>
      <c r="H84" s="1">
        <v>46288</v>
      </c>
      <c r="J84" t="s">
        <v>696</v>
      </c>
    </row>
    <row r="85" spans="1:10" x14ac:dyDescent="0.25">
      <c r="A85" t="s">
        <v>198</v>
      </c>
      <c r="B85" s="1">
        <v>46184</v>
      </c>
      <c r="C85" t="s">
        <v>8</v>
      </c>
      <c r="D85" t="s">
        <v>306</v>
      </c>
      <c r="E85" t="s">
        <v>307</v>
      </c>
      <c r="F85" s="23">
        <v>171</v>
      </c>
      <c r="G85" s="23"/>
      <c r="H85" s="1">
        <v>46227</v>
      </c>
      <c r="I85" t="s">
        <v>893</v>
      </c>
      <c r="J85" t="s">
        <v>308</v>
      </c>
    </row>
    <row r="86" spans="1:10" x14ac:dyDescent="0.25">
      <c r="A86" t="s">
        <v>198</v>
      </c>
      <c r="B86" s="1">
        <v>46238</v>
      </c>
      <c r="C86" t="s">
        <v>8</v>
      </c>
      <c r="D86" t="s">
        <v>450</v>
      </c>
      <c r="E86" t="s">
        <v>472</v>
      </c>
      <c r="F86" s="23">
        <v>15</v>
      </c>
      <c r="G86" s="23"/>
      <c r="H86" s="1">
        <v>46241</v>
      </c>
      <c r="I86" t="s">
        <v>893</v>
      </c>
      <c r="J86" t="s">
        <v>473</v>
      </c>
    </row>
    <row r="87" spans="1:10" x14ac:dyDescent="0.25">
      <c r="A87" t="s">
        <v>187</v>
      </c>
      <c r="B87" s="1">
        <v>46203</v>
      </c>
      <c r="C87" t="s">
        <v>8</v>
      </c>
      <c r="D87" t="s">
        <v>153</v>
      </c>
      <c r="E87" t="s">
        <v>188</v>
      </c>
      <c r="F87" s="23"/>
      <c r="G87" s="23">
        <v>20</v>
      </c>
      <c r="H87" s="1">
        <v>46206</v>
      </c>
      <c r="I87" t="s">
        <v>893</v>
      </c>
      <c r="J87" t="s">
        <v>189</v>
      </c>
    </row>
    <row r="88" spans="1:10" x14ac:dyDescent="0.25">
      <c r="A88" t="s">
        <v>215</v>
      </c>
      <c r="B88" s="1">
        <v>46205</v>
      </c>
      <c r="C88" t="s">
        <v>8</v>
      </c>
      <c r="D88" t="s">
        <v>156</v>
      </c>
      <c r="E88" t="s">
        <v>216</v>
      </c>
      <c r="F88" s="23">
        <v>90</v>
      </c>
      <c r="G88" s="23"/>
      <c r="H88" s="1">
        <v>46213</v>
      </c>
      <c r="I88" t="s">
        <v>893</v>
      </c>
      <c r="J88" t="s">
        <v>217</v>
      </c>
    </row>
    <row r="89" spans="1:10" x14ac:dyDescent="0.25">
      <c r="A89" t="s">
        <v>290</v>
      </c>
      <c r="B89" s="1">
        <v>46181</v>
      </c>
      <c r="C89" t="s">
        <v>8</v>
      </c>
      <c r="D89" t="s">
        <v>156</v>
      </c>
      <c r="E89" t="s">
        <v>291</v>
      </c>
      <c r="F89" s="23">
        <v>90</v>
      </c>
      <c r="G89" s="23"/>
      <c r="H89" s="1">
        <v>46225</v>
      </c>
      <c r="I89" t="s">
        <v>893</v>
      </c>
      <c r="J89" t="s">
        <v>292</v>
      </c>
    </row>
    <row r="90" spans="1:10" x14ac:dyDescent="0.25">
      <c r="A90" t="s">
        <v>309</v>
      </c>
      <c r="B90" s="1">
        <v>46218</v>
      </c>
      <c r="C90" t="s">
        <v>8</v>
      </c>
      <c r="D90" t="s">
        <v>156</v>
      </c>
      <c r="E90" t="s">
        <v>310</v>
      </c>
      <c r="F90" s="23">
        <v>212</v>
      </c>
      <c r="G90" s="23"/>
      <c r="H90" s="1">
        <v>46227</v>
      </c>
      <c r="I90" t="s">
        <v>893</v>
      </c>
      <c r="J90" t="s">
        <v>311</v>
      </c>
    </row>
    <row r="91" spans="1:10" x14ac:dyDescent="0.25">
      <c r="A91" t="s">
        <v>204</v>
      </c>
      <c r="B91" s="1">
        <v>46176</v>
      </c>
      <c r="C91" t="s">
        <v>8</v>
      </c>
      <c r="D91" t="s">
        <v>39</v>
      </c>
      <c r="E91" t="s">
        <v>380</v>
      </c>
      <c r="F91" s="23">
        <v>261.48</v>
      </c>
      <c r="G91" s="23"/>
      <c r="H91" s="1">
        <v>46234</v>
      </c>
      <c r="I91" t="s">
        <v>893</v>
      </c>
      <c r="J91" t="s">
        <v>381</v>
      </c>
    </row>
    <row r="92" spans="1:10" x14ac:dyDescent="0.25">
      <c r="A92" t="s">
        <v>159</v>
      </c>
      <c r="B92" s="1">
        <v>46178</v>
      </c>
      <c r="C92" t="s">
        <v>8</v>
      </c>
      <c r="D92" t="s">
        <v>39</v>
      </c>
      <c r="E92" t="s">
        <v>382</v>
      </c>
      <c r="F92" s="23">
        <v>363.64</v>
      </c>
      <c r="G92" s="23"/>
      <c r="H92" s="1">
        <v>46234</v>
      </c>
      <c r="I92" t="s">
        <v>893</v>
      </c>
      <c r="J92" t="s">
        <v>383</v>
      </c>
    </row>
    <row r="93" spans="1:10" x14ac:dyDescent="0.25">
      <c r="A93" t="s">
        <v>204</v>
      </c>
      <c r="B93" s="1">
        <v>46246</v>
      </c>
      <c r="C93" t="s">
        <v>8</v>
      </c>
      <c r="D93" t="s">
        <v>39</v>
      </c>
      <c r="E93" t="s">
        <v>746</v>
      </c>
      <c r="F93" s="23">
        <v>171.3</v>
      </c>
      <c r="G93" s="23"/>
      <c r="H93" s="1">
        <v>46246</v>
      </c>
      <c r="I93" t="s">
        <v>893</v>
      </c>
      <c r="J93" t="s">
        <v>747</v>
      </c>
    </row>
    <row r="94" spans="1:10" x14ac:dyDescent="0.25">
      <c r="A94" t="s">
        <v>287</v>
      </c>
      <c r="B94" s="1">
        <v>46246</v>
      </c>
      <c r="C94" t="s">
        <v>8</v>
      </c>
      <c r="D94" t="s">
        <v>39</v>
      </c>
      <c r="E94" t="s">
        <v>748</v>
      </c>
      <c r="F94" s="23">
        <v>537.24</v>
      </c>
      <c r="G94" s="23"/>
      <c r="H94" s="1">
        <v>46248</v>
      </c>
      <c r="I94" t="s">
        <v>893</v>
      </c>
      <c r="J94" t="s">
        <v>749</v>
      </c>
    </row>
    <row r="95" spans="1:10" x14ac:dyDescent="0.25">
      <c r="A95" t="s">
        <v>348</v>
      </c>
      <c r="B95" s="1">
        <v>46245</v>
      </c>
      <c r="C95" t="s">
        <v>8</v>
      </c>
      <c r="D95" t="s">
        <v>39</v>
      </c>
      <c r="E95" t="s">
        <v>722</v>
      </c>
      <c r="F95" s="23">
        <v>219.52</v>
      </c>
      <c r="G95" s="23"/>
      <c r="H95" s="1">
        <v>46269</v>
      </c>
      <c r="I95" t="s">
        <v>893</v>
      </c>
      <c r="J95" t="s">
        <v>723</v>
      </c>
    </row>
    <row r="96" spans="1:10" x14ac:dyDescent="0.25">
      <c r="A96" t="s">
        <v>152</v>
      </c>
      <c r="B96" s="1">
        <v>46220</v>
      </c>
      <c r="C96" t="s">
        <v>8</v>
      </c>
      <c r="D96" t="s">
        <v>245</v>
      </c>
      <c r="E96" t="s">
        <v>246</v>
      </c>
      <c r="F96" s="23">
        <v>46</v>
      </c>
      <c r="G96" s="23"/>
      <c r="H96" s="1">
        <v>46220</v>
      </c>
      <c r="I96" t="s">
        <v>893</v>
      </c>
      <c r="J96" t="s">
        <v>247</v>
      </c>
    </row>
    <row r="97" spans="1:10" x14ac:dyDescent="0.25">
      <c r="A97" t="s">
        <v>159</v>
      </c>
      <c r="B97" s="1">
        <v>46178</v>
      </c>
      <c r="C97" t="s">
        <v>8</v>
      </c>
      <c r="D97" t="s">
        <v>451</v>
      </c>
      <c r="E97" t="s">
        <v>534</v>
      </c>
      <c r="F97" s="23">
        <v>500.32</v>
      </c>
      <c r="G97" s="23"/>
      <c r="H97" s="1">
        <v>46247</v>
      </c>
      <c r="I97" t="s">
        <v>893</v>
      </c>
      <c r="J97" t="s">
        <v>535</v>
      </c>
    </row>
    <row r="98" spans="1:10" x14ac:dyDescent="0.25">
      <c r="A98" t="s">
        <v>121</v>
      </c>
      <c r="B98" s="1">
        <v>46169</v>
      </c>
      <c r="C98" t="s">
        <v>8</v>
      </c>
      <c r="D98" t="s">
        <v>793</v>
      </c>
      <c r="E98" t="s">
        <v>248</v>
      </c>
      <c r="F98" s="23">
        <v>421.4</v>
      </c>
      <c r="G98" s="23"/>
      <c r="H98" s="1">
        <v>46220</v>
      </c>
      <c r="I98" t="s">
        <v>893</v>
      </c>
      <c r="J98" t="s">
        <v>249</v>
      </c>
    </row>
    <row r="99" spans="1:10" x14ac:dyDescent="0.25">
      <c r="A99" t="s">
        <v>212</v>
      </c>
      <c r="B99" s="1">
        <v>46183</v>
      </c>
      <c r="C99" t="s">
        <v>8</v>
      </c>
      <c r="D99" t="s">
        <v>793</v>
      </c>
      <c r="E99" t="s">
        <v>293</v>
      </c>
      <c r="F99" s="23">
        <v>309.97000000000003</v>
      </c>
      <c r="G99" s="23"/>
      <c r="H99" s="1">
        <v>46225</v>
      </c>
      <c r="I99" t="s">
        <v>893</v>
      </c>
      <c r="J99" t="s">
        <v>294</v>
      </c>
    </row>
    <row r="100" spans="1:10" x14ac:dyDescent="0.25">
      <c r="A100" t="s">
        <v>159</v>
      </c>
      <c r="B100" s="1">
        <v>46178</v>
      </c>
      <c r="C100" t="s">
        <v>8</v>
      </c>
      <c r="D100" t="s">
        <v>793</v>
      </c>
      <c r="E100" t="s">
        <v>299</v>
      </c>
      <c r="F100" s="23">
        <v>522.03</v>
      </c>
      <c r="G100" s="23"/>
      <c r="H100" s="1">
        <v>46226</v>
      </c>
      <c r="I100" t="s">
        <v>893</v>
      </c>
      <c r="J100" t="s">
        <v>300</v>
      </c>
    </row>
    <row r="101" spans="1:10" x14ac:dyDescent="0.25">
      <c r="A101" t="s">
        <v>184</v>
      </c>
      <c r="B101" s="1">
        <v>46246</v>
      </c>
      <c r="C101" t="s">
        <v>8</v>
      </c>
      <c r="D101" t="s">
        <v>794</v>
      </c>
      <c r="E101" t="s">
        <v>795</v>
      </c>
      <c r="F101" s="23">
        <v>70.8</v>
      </c>
      <c r="G101" s="23"/>
      <c r="H101" s="1">
        <v>46246</v>
      </c>
      <c r="I101" t="s">
        <v>893</v>
      </c>
      <c r="J101" t="s">
        <v>796</v>
      </c>
    </row>
    <row r="102" spans="1:10" x14ac:dyDescent="0.25">
      <c r="A102" t="s">
        <v>184</v>
      </c>
      <c r="B102" s="1">
        <v>46246</v>
      </c>
      <c r="C102" t="s">
        <v>8</v>
      </c>
      <c r="D102" t="s">
        <v>794</v>
      </c>
      <c r="E102" t="s">
        <v>797</v>
      </c>
      <c r="F102" s="23">
        <v>70.8</v>
      </c>
      <c r="G102" s="23"/>
      <c r="H102" s="1">
        <v>46246</v>
      </c>
      <c r="I102" t="s">
        <v>893</v>
      </c>
      <c r="J102" t="s">
        <v>796</v>
      </c>
    </row>
    <row r="103" spans="1:10" x14ac:dyDescent="0.25">
      <c r="A103" t="s">
        <v>204</v>
      </c>
      <c r="B103" s="1">
        <v>46156</v>
      </c>
      <c r="C103" t="s">
        <v>8</v>
      </c>
      <c r="D103" t="s">
        <v>250</v>
      </c>
      <c r="E103" t="s">
        <v>251</v>
      </c>
      <c r="F103" s="23">
        <v>124.3</v>
      </c>
      <c r="G103" s="23"/>
      <c r="H103" s="1">
        <v>46220</v>
      </c>
      <c r="I103" t="s">
        <v>893</v>
      </c>
      <c r="J103" t="s">
        <v>252</v>
      </c>
    </row>
    <row r="104" spans="1:10" x14ac:dyDescent="0.25">
      <c r="A104" t="s">
        <v>287</v>
      </c>
      <c r="B104" s="1">
        <v>46213</v>
      </c>
      <c r="C104" t="s">
        <v>8</v>
      </c>
      <c r="D104" t="s">
        <v>250</v>
      </c>
      <c r="E104" t="s">
        <v>312</v>
      </c>
      <c r="F104" s="23">
        <v>646.79999999999995</v>
      </c>
      <c r="G104" s="23"/>
      <c r="H104" s="1">
        <v>46248</v>
      </c>
      <c r="I104" t="s">
        <v>893</v>
      </c>
      <c r="J104" t="s">
        <v>313</v>
      </c>
    </row>
    <row r="105" spans="1:10" x14ac:dyDescent="0.25">
      <c r="A105" t="s">
        <v>287</v>
      </c>
      <c r="B105" s="1">
        <v>46244</v>
      </c>
      <c r="C105" t="s">
        <v>8</v>
      </c>
      <c r="D105" t="s">
        <v>250</v>
      </c>
      <c r="E105" t="s">
        <v>713</v>
      </c>
      <c r="F105" s="23">
        <v>97.92</v>
      </c>
      <c r="G105" s="23"/>
      <c r="H105" s="1">
        <v>46248</v>
      </c>
      <c r="I105" t="s">
        <v>893</v>
      </c>
      <c r="J105" t="s">
        <v>714</v>
      </c>
    </row>
    <row r="106" spans="1:10" x14ac:dyDescent="0.25">
      <c r="A106" t="s">
        <v>159</v>
      </c>
      <c r="B106" s="1">
        <v>46175</v>
      </c>
      <c r="C106" t="s">
        <v>8</v>
      </c>
      <c r="D106" t="s">
        <v>273</v>
      </c>
      <c r="E106" t="s">
        <v>274</v>
      </c>
      <c r="F106" s="23">
        <v>521.4</v>
      </c>
      <c r="G106" s="23"/>
      <c r="H106" s="1">
        <v>46221</v>
      </c>
      <c r="I106" t="s">
        <v>893</v>
      </c>
      <c r="J106" t="s">
        <v>275</v>
      </c>
    </row>
    <row r="107" spans="1:10" x14ac:dyDescent="0.25">
      <c r="A107" t="s">
        <v>287</v>
      </c>
      <c r="B107" s="1">
        <v>46213</v>
      </c>
      <c r="C107" t="s">
        <v>8</v>
      </c>
      <c r="D107" t="s">
        <v>314</v>
      </c>
      <c r="E107" t="s">
        <v>315</v>
      </c>
      <c r="F107" s="23">
        <v>301.39999999999998</v>
      </c>
      <c r="G107" s="23"/>
      <c r="H107" s="1">
        <v>46227</v>
      </c>
      <c r="I107" t="s">
        <v>893</v>
      </c>
      <c r="J107" t="s">
        <v>316</v>
      </c>
    </row>
    <row r="108" spans="1:10" x14ac:dyDescent="0.25">
      <c r="A108" t="s">
        <v>287</v>
      </c>
      <c r="B108" s="1">
        <v>46213</v>
      </c>
      <c r="C108" t="s">
        <v>8</v>
      </c>
      <c r="D108" t="s">
        <v>314</v>
      </c>
      <c r="E108" t="s">
        <v>317</v>
      </c>
      <c r="F108" s="23">
        <v>301.39999999999998</v>
      </c>
      <c r="G108" s="23"/>
      <c r="H108" s="1">
        <v>46227</v>
      </c>
      <c r="I108" t="s">
        <v>893</v>
      </c>
      <c r="J108" t="s">
        <v>318</v>
      </c>
    </row>
    <row r="109" spans="1:10" x14ac:dyDescent="0.25">
      <c r="A109" t="s">
        <v>184</v>
      </c>
      <c r="B109" s="1">
        <v>46183</v>
      </c>
      <c r="C109" t="s">
        <v>8</v>
      </c>
      <c r="D109" t="s">
        <v>301</v>
      </c>
      <c r="E109" t="s">
        <v>302</v>
      </c>
      <c r="F109" s="23">
        <v>230.37</v>
      </c>
      <c r="G109" s="23"/>
      <c r="H109" s="1">
        <v>46226</v>
      </c>
      <c r="I109" t="s">
        <v>893</v>
      </c>
      <c r="J109" t="s">
        <v>303</v>
      </c>
    </row>
    <row r="110" spans="1:10" x14ac:dyDescent="0.25">
      <c r="A110" t="s">
        <v>184</v>
      </c>
      <c r="B110" s="1">
        <v>46183</v>
      </c>
      <c r="C110" t="s">
        <v>8</v>
      </c>
      <c r="D110" t="s">
        <v>301</v>
      </c>
      <c r="E110" t="s">
        <v>304</v>
      </c>
      <c r="F110" s="23">
        <v>330.74</v>
      </c>
      <c r="G110" s="23"/>
      <c r="H110" s="1">
        <v>46226</v>
      </c>
      <c r="I110" t="s">
        <v>893</v>
      </c>
      <c r="J110" t="s">
        <v>305</v>
      </c>
    </row>
    <row r="111" spans="1:10" x14ac:dyDescent="0.25">
      <c r="A111" t="s">
        <v>184</v>
      </c>
      <c r="B111" s="1">
        <v>46176</v>
      </c>
      <c r="C111" t="s">
        <v>8</v>
      </c>
      <c r="D111" t="s">
        <v>276</v>
      </c>
      <c r="E111" t="s">
        <v>277</v>
      </c>
      <c r="F111" s="23">
        <v>306.89999999999998</v>
      </c>
      <c r="G111" s="23"/>
      <c r="H111" s="1">
        <v>46221</v>
      </c>
      <c r="I111" t="s">
        <v>893</v>
      </c>
      <c r="J111" t="s">
        <v>278</v>
      </c>
    </row>
    <row r="112" spans="1:10" x14ac:dyDescent="0.25">
      <c r="A112" t="s">
        <v>184</v>
      </c>
      <c r="B112" s="1">
        <v>46176</v>
      </c>
      <c r="C112" t="s">
        <v>8</v>
      </c>
      <c r="D112" t="s">
        <v>276</v>
      </c>
      <c r="E112" t="s">
        <v>279</v>
      </c>
      <c r="F112" s="23">
        <v>306.89999999999998</v>
      </c>
      <c r="G112" s="23"/>
      <c r="H112" s="1">
        <v>46221</v>
      </c>
      <c r="I112" t="s">
        <v>893</v>
      </c>
      <c r="J112" t="s">
        <v>280</v>
      </c>
    </row>
    <row r="113" spans="1:10" x14ac:dyDescent="0.25">
      <c r="A113" t="s">
        <v>204</v>
      </c>
      <c r="B113" s="1">
        <v>46175</v>
      </c>
      <c r="C113" t="s">
        <v>8</v>
      </c>
      <c r="D113" t="s">
        <v>276</v>
      </c>
      <c r="E113" t="s">
        <v>342</v>
      </c>
      <c r="F113" s="23">
        <v>226.6</v>
      </c>
      <c r="G113" s="23"/>
      <c r="H113" s="1">
        <v>46230</v>
      </c>
      <c r="I113" t="s">
        <v>893</v>
      </c>
      <c r="J113" t="s">
        <v>343</v>
      </c>
    </row>
    <row r="114" spans="1:10" x14ac:dyDescent="0.25">
      <c r="A114" t="s">
        <v>198</v>
      </c>
      <c r="B114" s="1">
        <v>46181</v>
      </c>
      <c r="C114" t="s">
        <v>8</v>
      </c>
      <c r="D114" t="s">
        <v>356</v>
      </c>
      <c r="E114" t="s">
        <v>357</v>
      </c>
      <c r="F114" s="23">
        <v>170.52</v>
      </c>
      <c r="G114" s="23"/>
      <c r="H114" s="1">
        <v>46232</v>
      </c>
      <c r="I114" t="s">
        <v>893</v>
      </c>
      <c r="J114" t="s">
        <v>358</v>
      </c>
    </row>
    <row r="115" spans="1:10" x14ac:dyDescent="0.25">
      <c r="A115" t="s">
        <v>180</v>
      </c>
      <c r="B115" s="1">
        <v>46246</v>
      </c>
      <c r="C115" t="s">
        <v>8</v>
      </c>
      <c r="D115" t="s">
        <v>417</v>
      </c>
      <c r="E115" t="s">
        <v>798</v>
      </c>
      <c r="F115" s="23"/>
      <c r="G115" s="23">
        <v>84</v>
      </c>
      <c r="H115" s="1">
        <v>46246</v>
      </c>
      <c r="I115" t="s">
        <v>893</v>
      </c>
      <c r="J115" t="s">
        <v>799</v>
      </c>
    </row>
    <row r="116" spans="1:10" x14ac:dyDescent="0.25">
      <c r="A116" t="s">
        <v>180</v>
      </c>
      <c r="B116" s="1">
        <v>46246</v>
      </c>
      <c r="C116" t="s">
        <v>8</v>
      </c>
      <c r="D116" t="s">
        <v>417</v>
      </c>
      <c r="E116" t="s">
        <v>800</v>
      </c>
      <c r="F116" s="23"/>
      <c r="G116" s="23">
        <v>84</v>
      </c>
      <c r="H116" s="1">
        <v>46246</v>
      </c>
      <c r="I116" t="s">
        <v>893</v>
      </c>
      <c r="J116" t="s">
        <v>799</v>
      </c>
    </row>
    <row r="117" spans="1:10" x14ac:dyDescent="0.25">
      <c r="A117" t="s">
        <v>212</v>
      </c>
      <c r="B117" s="1">
        <v>46183</v>
      </c>
      <c r="C117" t="s">
        <v>8</v>
      </c>
      <c r="D117" t="s">
        <v>112</v>
      </c>
      <c r="E117" t="s">
        <v>384</v>
      </c>
      <c r="F117" s="23">
        <v>494.5</v>
      </c>
      <c r="G117" s="23"/>
      <c r="H117" s="1">
        <v>46234</v>
      </c>
      <c r="I117" t="s">
        <v>893</v>
      </c>
      <c r="J117" t="s">
        <v>385</v>
      </c>
    </row>
    <row r="118" spans="1:10" x14ac:dyDescent="0.25">
      <c r="A118" t="s">
        <v>159</v>
      </c>
      <c r="B118" s="1">
        <v>46184</v>
      </c>
      <c r="C118" t="s">
        <v>8</v>
      </c>
      <c r="D118" t="s">
        <v>112</v>
      </c>
      <c r="E118" t="s">
        <v>412</v>
      </c>
      <c r="F118" s="23">
        <v>192.5</v>
      </c>
      <c r="G118" s="23"/>
      <c r="H118" s="1">
        <v>46236</v>
      </c>
      <c r="I118" t="s">
        <v>893</v>
      </c>
      <c r="J118" t="s">
        <v>413</v>
      </c>
    </row>
    <row r="119" spans="1:10" x14ac:dyDescent="0.25">
      <c r="A119" t="s">
        <v>290</v>
      </c>
      <c r="B119" s="1">
        <v>46181</v>
      </c>
      <c r="C119" t="s">
        <v>8</v>
      </c>
      <c r="D119" t="s">
        <v>112</v>
      </c>
      <c r="E119" t="s">
        <v>477</v>
      </c>
      <c r="F119" s="23">
        <v>333</v>
      </c>
      <c r="G119" s="23"/>
      <c r="H119" s="1">
        <v>46241</v>
      </c>
      <c r="I119" t="s">
        <v>893</v>
      </c>
      <c r="J119" t="s">
        <v>478</v>
      </c>
    </row>
    <row r="120" spans="1:10" x14ac:dyDescent="0.25">
      <c r="A120" t="s">
        <v>111</v>
      </c>
      <c r="B120" s="1">
        <v>46246</v>
      </c>
      <c r="C120" t="s">
        <v>8</v>
      </c>
      <c r="D120" t="s">
        <v>112</v>
      </c>
      <c r="E120" t="s">
        <v>750</v>
      </c>
      <c r="F120" s="23">
        <v>46</v>
      </c>
      <c r="G120" s="23"/>
      <c r="H120" s="1">
        <v>46246</v>
      </c>
      <c r="I120" t="s">
        <v>893</v>
      </c>
      <c r="J120" t="s">
        <v>751</v>
      </c>
    </row>
    <row r="121" spans="1:10" x14ac:dyDescent="0.25">
      <c r="A121" t="s">
        <v>287</v>
      </c>
      <c r="B121" s="1">
        <v>46237</v>
      </c>
      <c r="C121" t="s">
        <v>8</v>
      </c>
      <c r="D121" t="s">
        <v>112</v>
      </c>
      <c r="E121" t="s">
        <v>577</v>
      </c>
      <c r="F121" s="23">
        <v>25</v>
      </c>
      <c r="G121" s="23"/>
      <c r="H121" s="1">
        <v>46255</v>
      </c>
      <c r="I121" t="s">
        <v>893</v>
      </c>
      <c r="J121" t="s">
        <v>578</v>
      </c>
    </row>
    <row r="122" spans="1:10" x14ac:dyDescent="0.25">
      <c r="A122" t="s">
        <v>467</v>
      </c>
      <c r="B122" s="1">
        <v>46241</v>
      </c>
      <c r="C122" t="s">
        <v>8</v>
      </c>
      <c r="D122" t="s">
        <v>112</v>
      </c>
      <c r="E122" t="s">
        <v>636</v>
      </c>
      <c r="F122" s="23">
        <v>44</v>
      </c>
      <c r="G122" s="23"/>
      <c r="H122" s="1">
        <v>46274</v>
      </c>
      <c r="I122" t="s">
        <v>893</v>
      </c>
      <c r="J122" t="s">
        <v>637</v>
      </c>
    </row>
    <row r="123" spans="1:10" x14ac:dyDescent="0.25">
      <c r="A123" t="s">
        <v>467</v>
      </c>
      <c r="B123" s="1">
        <v>46241</v>
      </c>
      <c r="C123" t="s">
        <v>8</v>
      </c>
      <c r="D123" t="s">
        <v>112</v>
      </c>
      <c r="E123" t="s">
        <v>638</v>
      </c>
      <c r="F123" s="23">
        <v>8.4</v>
      </c>
      <c r="G123" s="23"/>
      <c r="H123" s="1">
        <v>46274</v>
      </c>
      <c r="I123" t="s">
        <v>893</v>
      </c>
      <c r="J123" t="s">
        <v>639</v>
      </c>
    </row>
    <row r="124" spans="1:10" x14ac:dyDescent="0.25">
      <c r="A124" t="s">
        <v>467</v>
      </c>
      <c r="B124" s="1">
        <v>46241</v>
      </c>
      <c r="C124" t="s">
        <v>8</v>
      </c>
      <c r="D124" t="s">
        <v>112</v>
      </c>
      <c r="E124" t="s">
        <v>640</v>
      </c>
      <c r="F124" s="23">
        <v>75</v>
      </c>
      <c r="G124" s="23"/>
      <c r="H124" s="1">
        <v>46274</v>
      </c>
      <c r="I124" t="s">
        <v>893</v>
      </c>
      <c r="J124" t="s">
        <v>641</v>
      </c>
    </row>
    <row r="125" spans="1:10" x14ac:dyDescent="0.25">
      <c r="A125" t="s">
        <v>467</v>
      </c>
      <c r="B125" s="1">
        <v>46241</v>
      </c>
      <c r="C125" t="s">
        <v>8</v>
      </c>
      <c r="D125" t="s">
        <v>112</v>
      </c>
      <c r="E125" t="s">
        <v>642</v>
      </c>
      <c r="F125" s="23">
        <v>8.4</v>
      </c>
      <c r="G125" s="23"/>
      <c r="H125" s="1">
        <v>46274</v>
      </c>
      <c r="I125" t="s">
        <v>893</v>
      </c>
      <c r="J125" t="s">
        <v>643</v>
      </c>
    </row>
    <row r="126" spans="1:10" x14ac:dyDescent="0.25">
      <c r="A126" t="s">
        <v>467</v>
      </c>
      <c r="B126" s="1">
        <v>46241</v>
      </c>
      <c r="C126" t="s">
        <v>8</v>
      </c>
      <c r="D126" t="s">
        <v>112</v>
      </c>
      <c r="E126" t="s">
        <v>644</v>
      </c>
      <c r="F126" s="23">
        <v>15</v>
      </c>
      <c r="G126" s="23"/>
      <c r="H126" s="1">
        <v>46274</v>
      </c>
      <c r="I126" t="s">
        <v>893</v>
      </c>
      <c r="J126" t="s">
        <v>645</v>
      </c>
    </row>
    <row r="127" spans="1:10" x14ac:dyDescent="0.25">
      <c r="A127" t="s">
        <v>467</v>
      </c>
      <c r="B127" s="1">
        <v>46241</v>
      </c>
      <c r="C127" t="s">
        <v>8</v>
      </c>
      <c r="D127" t="s">
        <v>112</v>
      </c>
      <c r="E127" t="s">
        <v>646</v>
      </c>
      <c r="F127" s="23">
        <v>2.8</v>
      </c>
      <c r="G127" s="23"/>
      <c r="H127" s="1">
        <v>46274</v>
      </c>
      <c r="I127" t="s">
        <v>893</v>
      </c>
      <c r="J127" t="s">
        <v>647</v>
      </c>
    </row>
    <row r="128" spans="1:10" x14ac:dyDescent="0.25">
      <c r="A128" t="s">
        <v>147</v>
      </c>
      <c r="B128" s="1">
        <v>46182</v>
      </c>
      <c r="C128" t="s">
        <v>8</v>
      </c>
      <c r="D128" t="s">
        <v>28</v>
      </c>
      <c r="E128" t="s">
        <v>193</v>
      </c>
      <c r="F128" s="23">
        <v>125</v>
      </c>
      <c r="G128" s="23"/>
      <c r="H128" s="1">
        <v>46209</v>
      </c>
      <c r="I128" t="s">
        <v>893</v>
      </c>
      <c r="J128" t="s">
        <v>194</v>
      </c>
    </row>
    <row r="129" spans="1:10" x14ac:dyDescent="0.25">
      <c r="A129" t="s">
        <v>190</v>
      </c>
      <c r="B129" s="1">
        <v>46197</v>
      </c>
      <c r="C129" t="s">
        <v>8</v>
      </c>
      <c r="D129" t="s">
        <v>28</v>
      </c>
      <c r="E129" t="s">
        <v>220</v>
      </c>
      <c r="F129" s="23">
        <v>71</v>
      </c>
      <c r="G129" s="23"/>
      <c r="H129" s="1">
        <v>46213</v>
      </c>
      <c r="I129" t="s">
        <v>893</v>
      </c>
      <c r="J129" t="s">
        <v>221</v>
      </c>
    </row>
    <row r="130" spans="1:10" x14ac:dyDescent="0.25">
      <c r="A130" t="s">
        <v>184</v>
      </c>
      <c r="B130" s="1">
        <v>46183</v>
      </c>
      <c r="C130" t="s">
        <v>8</v>
      </c>
      <c r="D130" t="s">
        <v>28</v>
      </c>
      <c r="E130" t="s">
        <v>257</v>
      </c>
      <c r="F130" s="23">
        <v>274.5</v>
      </c>
      <c r="G130" s="23"/>
      <c r="H130" s="1">
        <v>46220</v>
      </c>
      <c r="I130" t="s">
        <v>893</v>
      </c>
      <c r="J130" t="s">
        <v>258</v>
      </c>
    </row>
    <row r="131" spans="1:10" x14ac:dyDescent="0.25">
      <c r="A131" t="s">
        <v>204</v>
      </c>
      <c r="B131" s="1">
        <v>46176</v>
      </c>
      <c r="C131" t="s">
        <v>8</v>
      </c>
      <c r="D131" t="s">
        <v>28</v>
      </c>
      <c r="E131" t="s">
        <v>335</v>
      </c>
      <c r="F131" s="23">
        <v>340</v>
      </c>
      <c r="G131" s="23"/>
      <c r="H131" s="1">
        <v>46228</v>
      </c>
      <c r="I131" t="s">
        <v>893</v>
      </c>
      <c r="J131" t="s">
        <v>336</v>
      </c>
    </row>
    <row r="132" spans="1:10" x14ac:dyDescent="0.25">
      <c r="A132" t="s">
        <v>233</v>
      </c>
      <c r="B132" s="1">
        <v>46185</v>
      </c>
      <c r="C132" t="s">
        <v>8</v>
      </c>
      <c r="D132" t="s">
        <v>28</v>
      </c>
      <c r="E132" t="s">
        <v>369</v>
      </c>
      <c r="F132" s="23">
        <v>70</v>
      </c>
      <c r="G132" s="23"/>
      <c r="H132" s="1">
        <v>46233</v>
      </c>
      <c r="I132" t="s">
        <v>893</v>
      </c>
      <c r="J132" t="s">
        <v>370</v>
      </c>
    </row>
    <row r="133" spans="1:10" x14ac:dyDescent="0.25">
      <c r="A133" t="s">
        <v>115</v>
      </c>
      <c r="B133" s="1">
        <v>46246</v>
      </c>
      <c r="C133" t="s">
        <v>8</v>
      </c>
      <c r="D133" t="s">
        <v>28</v>
      </c>
      <c r="E133" t="s">
        <v>754</v>
      </c>
      <c r="F133" s="23">
        <v>415</v>
      </c>
      <c r="G133" s="23"/>
      <c r="H133" s="1">
        <v>46246</v>
      </c>
      <c r="I133" t="s">
        <v>893</v>
      </c>
      <c r="J133" t="s">
        <v>130</v>
      </c>
    </row>
    <row r="134" spans="1:10" x14ac:dyDescent="0.25">
      <c r="A134" t="s">
        <v>147</v>
      </c>
      <c r="B134" s="1">
        <v>46246</v>
      </c>
      <c r="C134" t="s">
        <v>8</v>
      </c>
      <c r="D134" t="s">
        <v>28</v>
      </c>
      <c r="E134" t="s">
        <v>801</v>
      </c>
      <c r="F134" s="23">
        <v>15</v>
      </c>
      <c r="G134" s="23"/>
      <c r="H134" s="1">
        <v>46246</v>
      </c>
      <c r="I134" t="s">
        <v>893</v>
      </c>
      <c r="J134" t="s">
        <v>802</v>
      </c>
    </row>
    <row r="135" spans="1:10" x14ac:dyDescent="0.25">
      <c r="A135" t="s">
        <v>204</v>
      </c>
      <c r="B135" s="1">
        <v>46219</v>
      </c>
      <c r="C135" t="s">
        <v>8</v>
      </c>
      <c r="D135" t="s">
        <v>240</v>
      </c>
      <c r="E135" t="s">
        <v>319</v>
      </c>
      <c r="F135" s="23">
        <v>64</v>
      </c>
      <c r="G135" s="23"/>
      <c r="H135" s="1">
        <v>46227</v>
      </c>
      <c r="I135" t="s">
        <v>893</v>
      </c>
      <c r="J135" t="s">
        <v>320</v>
      </c>
    </row>
    <row r="136" spans="1:10" x14ac:dyDescent="0.25">
      <c r="A136" t="s">
        <v>180</v>
      </c>
      <c r="B136" s="1">
        <v>46233</v>
      </c>
      <c r="C136" t="s">
        <v>8</v>
      </c>
      <c r="D136" t="s">
        <v>361</v>
      </c>
      <c r="E136" t="s">
        <v>479</v>
      </c>
      <c r="F136" s="23">
        <v>40</v>
      </c>
      <c r="G136" s="23"/>
      <c r="H136" s="1">
        <v>46241</v>
      </c>
      <c r="I136" t="s">
        <v>893</v>
      </c>
      <c r="J136" t="s">
        <v>480</v>
      </c>
    </row>
    <row r="137" spans="1:10" x14ac:dyDescent="0.25">
      <c r="A137" t="s">
        <v>180</v>
      </c>
      <c r="B137" s="1">
        <v>46234</v>
      </c>
      <c r="C137" t="s">
        <v>8</v>
      </c>
      <c r="D137" t="s">
        <v>361</v>
      </c>
      <c r="E137" t="s">
        <v>481</v>
      </c>
      <c r="F137" s="23">
        <v>150</v>
      </c>
      <c r="G137" s="23"/>
      <c r="H137" s="1">
        <v>46241</v>
      </c>
      <c r="I137" t="s">
        <v>893</v>
      </c>
      <c r="J137" t="s">
        <v>482</v>
      </c>
    </row>
    <row r="138" spans="1:10" x14ac:dyDescent="0.25">
      <c r="A138" t="s">
        <v>446</v>
      </c>
      <c r="B138" s="1">
        <v>46238</v>
      </c>
      <c r="C138" t="s">
        <v>8</v>
      </c>
      <c r="D138" t="s">
        <v>361</v>
      </c>
      <c r="E138" t="s">
        <v>579</v>
      </c>
      <c r="F138" s="23">
        <v>60</v>
      </c>
      <c r="G138" s="23"/>
      <c r="H138" s="1">
        <v>46255</v>
      </c>
      <c r="I138" t="s">
        <v>893</v>
      </c>
      <c r="J138" t="s">
        <v>580</v>
      </c>
    </row>
    <row r="139" spans="1:10" x14ac:dyDescent="0.25">
      <c r="A139" t="s">
        <v>467</v>
      </c>
      <c r="B139" s="1">
        <v>46241</v>
      </c>
      <c r="C139" t="s">
        <v>8</v>
      </c>
      <c r="D139" t="s">
        <v>648</v>
      </c>
      <c r="E139" t="s">
        <v>649</v>
      </c>
      <c r="F139" s="23">
        <v>60</v>
      </c>
      <c r="G139" s="23"/>
      <c r="H139" s="1">
        <v>46274</v>
      </c>
      <c r="I139" t="s">
        <v>893</v>
      </c>
      <c r="J139" t="s">
        <v>650</v>
      </c>
    </row>
    <row r="140" spans="1:10" x14ac:dyDescent="0.25">
      <c r="A140" t="s">
        <v>190</v>
      </c>
      <c r="B140" s="1">
        <v>46171</v>
      </c>
      <c r="C140" t="s">
        <v>8</v>
      </c>
      <c r="D140" t="s">
        <v>32</v>
      </c>
      <c r="E140" t="s">
        <v>191</v>
      </c>
      <c r="F140" s="23">
        <v>254</v>
      </c>
      <c r="G140" s="23"/>
      <c r="H140" s="1">
        <v>46206</v>
      </c>
      <c r="I140" t="s">
        <v>893</v>
      </c>
      <c r="J140" t="s">
        <v>192</v>
      </c>
    </row>
    <row r="141" spans="1:10" x14ac:dyDescent="0.25">
      <c r="A141" t="s">
        <v>184</v>
      </c>
      <c r="B141" s="1">
        <v>46176</v>
      </c>
      <c r="C141" t="s">
        <v>8</v>
      </c>
      <c r="D141" t="s">
        <v>32</v>
      </c>
      <c r="E141" t="s">
        <v>208</v>
      </c>
      <c r="F141" s="23">
        <v>80</v>
      </c>
      <c r="G141" s="23"/>
      <c r="H141" s="1">
        <v>46211</v>
      </c>
      <c r="I141" t="s">
        <v>893</v>
      </c>
      <c r="J141" t="s">
        <v>209</v>
      </c>
    </row>
    <row r="142" spans="1:10" x14ac:dyDescent="0.25">
      <c r="A142" t="s">
        <v>215</v>
      </c>
      <c r="B142" s="1">
        <v>46205</v>
      </c>
      <c r="C142" t="s">
        <v>8</v>
      </c>
      <c r="D142" t="s">
        <v>32</v>
      </c>
      <c r="E142" t="s">
        <v>222</v>
      </c>
      <c r="F142" s="23">
        <v>94</v>
      </c>
      <c r="G142" s="23"/>
      <c r="H142" s="1">
        <v>46213</v>
      </c>
      <c r="I142" t="s">
        <v>893</v>
      </c>
      <c r="J142" t="s">
        <v>223</v>
      </c>
    </row>
    <row r="143" spans="1:10" x14ac:dyDescent="0.25">
      <c r="A143" t="s">
        <v>204</v>
      </c>
      <c r="B143" s="1">
        <v>46183</v>
      </c>
      <c r="C143" t="s">
        <v>8</v>
      </c>
      <c r="D143" t="s">
        <v>32</v>
      </c>
      <c r="E143" t="s">
        <v>231</v>
      </c>
      <c r="F143" s="23">
        <v>80</v>
      </c>
      <c r="G143" s="23"/>
      <c r="H143" s="1">
        <v>46215</v>
      </c>
      <c r="I143" t="s">
        <v>893</v>
      </c>
      <c r="J143" t="s">
        <v>232</v>
      </c>
    </row>
    <row r="144" spans="1:10" x14ac:dyDescent="0.25">
      <c r="A144" t="s">
        <v>204</v>
      </c>
      <c r="B144" s="1">
        <v>46211</v>
      </c>
      <c r="C144" t="s">
        <v>8</v>
      </c>
      <c r="D144" t="s">
        <v>32</v>
      </c>
      <c r="E144" t="s">
        <v>259</v>
      </c>
      <c r="F144" s="23">
        <v>94</v>
      </c>
      <c r="G144" s="23"/>
      <c r="H144" s="1">
        <v>46220</v>
      </c>
      <c r="I144" t="s">
        <v>893</v>
      </c>
      <c r="J144" t="s">
        <v>260</v>
      </c>
    </row>
    <row r="145" spans="1:10" x14ac:dyDescent="0.25">
      <c r="A145" t="s">
        <v>290</v>
      </c>
      <c r="B145" s="1">
        <v>46183</v>
      </c>
      <c r="C145" t="s">
        <v>8</v>
      </c>
      <c r="D145" t="s">
        <v>32</v>
      </c>
      <c r="E145" t="s">
        <v>321</v>
      </c>
      <c r="F145" s="23">
        <v>87</v>
      </c>
      <c r="G145" s="23"/>
      <c r="H145" s="1">
        <v>46227</v>
      </c>
      <c r="I145" t="s">
        <v>893</v>
      </c>
      <c r="J145" t="s">
        <v>322</v>
      </c>
    </row>
    <row r="146" spans="1:10" x14ac:dyDescent="0.25">
      <c r="A146" t="s">
        <v>212</v>
      </c>
      <c r="B146" s="1">
        <v>46183</v>
      </c>
      <c r="C146" t="s">
        <v>8</v>
      </c>
      <c r="D146" t="s">
        <v>32</v>
      </c>
      <c r="E146" t="s">
        <v>323</v>
      </c>
      <c r="F146" s="23">
        <v>167</v>
      </c>
      <c r="G146" s="23"/>
      <c r="H146" s="1">
        <v>46227</v>
      </c>
      <c r="I146" t="s">
        <v>893</v>
      </c>
      <c r="J146" t="s">
        <v>324</v>
      </c>
    </row>
    <row r="147" spans="1:10" x14ac:dyDescent="0.25">
      <c r="A147" t="s">
        <v>309</v>
      </c>
      <c r="B147" s="1">
        <v>46218</v>
      </c>
      <c r="C147" t="s">
        <v>8</v>
      </c>
      <c r="D147" t="s">
        <v>32</v>
      </c>
      <c r="E147" t="s">
        <v>325</v>
      </c>
      <c r="F147" s="23">
        <v>174</v>
      </c>
      <c r="G147" s="23"/>
      <c r="H147" s="1">
        <v>46227</v>
      </c>
      <c r="I147" t="s">
        <v>893</v>
      </c>
      <c r="J147" t="s">
        <v>326</v>
      </c>
    </row>
    <row r="148" spans="1:10" x14ac:dyDescent="0.25">
      <c r="A148" t="s">
        <v>198</v>
      </c>
      <c r="B148" s="1">
        <v>46181</v>
      </c>
      <c r="C148" t="s">
        <v>8</v>
      </c>
      <c r="D148" t="s">
        <v>32</v>
      </c>
      <c r="E148" t="s">
        <v>460</v>
      </c>
      <c r="F148" s="23">
        <v>80</v>
      </c>
      <c r="G148" s="23"/>
      <c r="H148" s="1">
        <v>46239</v>
      </c>
      <c r="I148" t="s">
        <v>893</v>
      </c>
      <c r="J148" t="s">
        <v>461</v>
      </c>
    </row>
    <row r="149" spans="1:10" x14ac:dyDescent="0.25">
      <c r="A149" t="s">
        <v>446</v>
      </c>
      <c r="B149" s="1">
        <v>46238</v>
      </c>
      <c r="C149" t="s">
        <v>8</v>
      </c>
      <c r="D149" t="s">
        <v>32</v>
      </c>
      <c r="E149" t="s">
        <v>581</v>
      </c>
      <c r="F149" s="23">
        <v>247</v>
      </c>
      <c r="G149" s="23"/>
      <c r="H149" s="1">
        <v>46255</v>
      </c>
      <c r="I149" t="s">
        <v>893</v>
      </c>
      <c r="J149" t="s">
        <v>582</v>
      </c>
    </row>
    <row r="150" spans="1:10" x14ac:dyDescent="0.25">
      <c r="A150" t="s">
        <v>348</v>
      </c>
      <c r="B150" s="1">
        <v>46245</v>
      </c>
      <c r="C150" t="s">
        <v>8</v>
      </c>
      <c r="D150" t="s">
        <v>32</v>
      </c>
      <c r="E150" t="s">
        <v>720</v>
      </c>
      <c r="F150" s="23">
        <v>80</v>
      </c>
      <c r="G150" s="23"/>
      <c r="H150" s="1">
        <v>46262</v>
      </c>
      <c r="I150" t="s">
        <v>893</v>
      </c>
      <c r="J150" t="s">
        <v>721</v>
      </c>
    </row>
    <row r="151" spans="1:10" x14ac:dyDescent="0.25">
      <c r="A151" t="s">
        <v>233</v>
      </c>
      <c r="B151" s="1">
        <v>46233</v>
      </c>
      <c r="C151" t="s">
        <v>8</v>
      </c>
      <c r="D151" t="s">
        <v>234</v>
      </c>
      <c r="E151" t="s">
        <v>235</v>
      </c>
      <c r="F151" s="23">
        <v>255</v>
      </c>
      <c r="G151" s="23"/>
      <c r="H151" s="1">
        <v>46215</v>
      </c>
      <c r="I151" t="s">
        <v>893</v>
      </c>
      <c r="J151" t="s">
        <v>236</v>
      </c>
    </row>
    <row r="152" spans="1:10" x14ac:dyDescent="0.25">
      <c r="A152" t="s">
        <v>180</v>
      </c>
      <c r="B152" s="1">
        <v>46246</v>
      </c>
      <c r="C152" t="s">
        <v>8</v>
      </c>
      <c r="D152" t="s">
        <v>234</v>
      </c>
      <c r="E152" t="s">
        <v>803</v>
      </c>
      <c r="F152" s="23">
        <v>203.5</v>
      </c>
      <c r="G152" s="23"/>
      <c r="H152" s="1">
        <v>46246</v>
      </c>
      <c r="I152" t="s">
        <v>893</v>
      </c>
      <c r="J152" t="s">
        <v>804</v>
      </c>
    </row>
    <row r="153" spans="1:10" x14ac:dyDescent="0.25">
      <c r="A153" t="s">
        <v>180</v>
      </c>
      <c r="B153" s="1">
        <v>46246</v>
      </c>
      <c r="C153" t="s">
        <v>8</v>
      </c>
      <c r="D153" t="s">
        <v>234</v>
      </c>
      <c r="E153" t="s">
        <v>805</v>
      </c>
      <c r="F153" s="23">
        <v>170</v>
      </c>
      <c r="G153" s="23"/>
      <c r="H153" s="1">
        <v>46246</v>
      </c>
      <c r="I153" t="s">
        <v>893</v>
      </c>
      <c r="J153" t="s">
        <v>806</v>
      </c>
    </row>
    <row r="154" spans="1:10" x14ac:dyDescent="0.25">
      <c r="A154" t="s">
        <v>180</v>
      </c>
      <c r="B154" s="1">
        <v>46246</v>
      </c>
      <c r="C154" t="s">
        <v>8</v>
      </c>
      <c r="D154" t="s">
        <v>234</v>
      </c>
      <c r="E154" t="s">
        <v>807</v>
      </c>
      <c r="F154" s="23">
        <v>140</v>
      </c>
      <c r="G154" s="23"/>
      <c r="H154" s="1">
        <v>46246</v>
      </c>
      <c r="I154" t="s">
        <v>893</v>
      </c>
      <c r="J154" t="s">
        <v>808</v>
      </c>
    </row>
    <row r="155" spans="1:10" x14ac:dyDescent="0.25">
      <c r="A155" t="s">
        <v>180</v>
      </c>
      <c r="B155" s="1">
        <v>46246</v>
      </c>
      <c r="C155" t="s">
        <v>8</v>
      </c>
      <c r="D155" t="s">
        <v>234</v>
      </c>
      <c r="E155" t="s">
        <v>809</v>
      </c>
      <c r="F155" s="23">
        <v>140</v>
      </c>
      <c r="G155" s="23"/>
      <c r="H155" s="1">
        <v>46246</v>
      </c>
      <c r="I155" t="s">
        <v>893</v>
      </c>
      <c r="J155" t="s">
        <v>810</v>
      </c>
    </row>
    <row r="156" spans="1:10" x14ac:dyDescent="0.25">
      <c r="A156" t="s">
        <v>180</v>
      </c>
      <c r="B156" s="1">
        <v>46246</v>
      </c>
      <c r="C156" t="s">
        <v>8</v>
      </c>
      <c r="D156" t="s">
        <v>234</v>
      </c>
      <c r="E156" t="s">
        <v>811</v>
      </c>
      <c r="F156" s="23">
        <v>254.64</v>
      </c>
      <c r="G156" s="23"/>
      <c r="H156" s="1">
        <v>46246</v>
      </c>
      <c r="I156" t="s">
        <v>893</v>
      </c>
      <c r="J156" t="s">
        <v>812</v>
      </c>
    </row>
    <row r="157" spans="1:10" x14ac:dyDescent="0.25">
      <c r="A157" t="s">
        <v>212</v>
      </c>
      <c r="B157" s="1">
        <v>46184</v>
      </c>
      <c r="C157" t="s">
        <v>8</v>
      </c>
      <c r="D157" t="s">
        <v>163</v>
      </c>
      <c r="E157" t="s">
        <v>285</v>
      </c>
      <c r="F157" s="23">
        <v>354</v>
      </c>
      <c r="G157" s="23"/>
      <c r="H157" s="1">
        <v>46223</v>
      </c>
      <c r="I157" t="s">
        <v>893</v>
      </c>
      <c r="J157" t="s">
        <v>286</v>
      </c>
    </row>
    <row r="158" spans="1:10" x14ac:dyDescent="0.25">
      <c r="A158" t="s">
        <v>290</v>
      </c>
      <c r="B158" s="1">
        <v>46185</v>
      </c>
      <c r="C158" t="s">
        <v>8</v>
      </c>
      <c r="D158" t="s">
        <v>163</v>
      </c>
      <c r="E158" t="s">
        <v>295</v>
      </c>
      <c r="F158" s="23">
        <v>306.5</v>
      </c>
      <c r="G158" s="23"/>
      <c r="H158" s="1">
        <v>46225</v>
      </c>
      <c r="I158" t="s">
        <v>893</v>
      </c>
      <c r="J158" t="s">
        <v>296</v>
      </c>
    </row>
    <row r="159" spans="1:10" x14ac:dyDescent="0.25">
      <c r="A159" t="s">
        <v>180</v>
      </c>
      <c r="B159" s="1">
        <v>46241</v>
      </c>
      <c r="C159" t="s">
        <v>8</v>
      </c>
      <c r="D159" t="s">
        <v>263</v>
      </c>
      <c r="E159" t="s">
        <v>483</v>
      </c>
      <c r="F159" s="23">
        <v>135</v>
      </c>
      <c r="G159" s="23"/>
      <c r="H159" s="1">
        <v>46241</v>
      </c>
      <c r="I159" t="s">
        <v>893</v>
      </c>
      <c r="J159" t="s">
        <v>484</v>
      </c>
    </row>
    <row r="160" spans="1:10" x14ac:dyDescent="0.25">
      <c r="A160" t="s">
        <v>180</v>
      </c>
      <c r="B160" s="1">
        <v>46241</v>
      </c>
      <c r="C160" t="s">
        <v>8</v>
      </c>
      <c r="D160" t="s">
        <v>263</v>
      </c>
      <c r="E160" t="s">
        <v>485</v>
      </c>
      <c r="F160" s="23">
        <v>135</v>
      </c>
      <c r="G160" s="23"/>
      <c r="H160" s="1">
        <v>46241</v>
      </c>
      <c r="I160" t="s">
        <v>893</v>
      </c>
      <c r="J160" t="s">
        <v>484</v>
      </c>
    </row>
    <row r="161" spans="1:10" x14ac:dyDescent="0.25">
      <c r="A161" t="s">
        <v>180</v>
      </c>
      <c r="B161" s="1">
        <v>46241</v>
      </c>
      <c r="C161" t="s">
        <v>8</v>
      </c>
      <c r="D161" t="s">
        <v>263</v>
      </c>
      <c r="E161" t="s">
        <v>486</v>
      </c>
      <c r="F161" s="23"/>
      <c r="G161" s="23">
        <v>22.4</v>
      </c>
      <c r="H161" s="1">
        <v>46241</v>
      </c>
      <c r="I161" t="s">
        <v>893</v>
      </c>
      <c r="J161" t="s">
        <v>487</v>
      </c>
    </row>
    <row r="162" spans="1:10" x14ac:dyDescent="0.25">
      <c r="A162" t="s">
        <v>180</v>
      </c>
      <c r="B162" s="1">
        <v>46241</v>
      </c>
      <c r="C162" t="s">
        <v>8</v>
      </c>
      <c r="D162" t="s">
        <v>263</v>
      </c>
      <c r="E162" t="s">
        <v>488</v>
      </c>
      <c r="F162" s="23"/>
      <c r="G162" s="23">
        <v>22.4</v>
      </c>
      <c r="H162" s="1">
        <v>46241</v>
      </c>
      <c r="I162" t="s">
        <v>893</v>
      </c>
      <c r="J162" t="s">
        <v>487</v>
      </c>
    </row>
    <row r="163" spans="1:10" x14ac:dyDescent="0.25">
      <c r="A163" t="s">
        <v>180</v>
      </c>
      <c r="B163" s="1">
        <v>46241</v>
      </c>
      <c r="C163" t="s">
        <v>8</v>
      </c>
      <c r="D163" t="s">
        <v>263</v>
      </c>
      <c r="E163" t="s">
        <v>489</v>
      </c>
      <c r="F163" s="23"/>
      <c r="G163" s="23">
        <v>13.6</v>
      </c>
      <c r="H163" s="1">
        <v>46241</v>
      </c>
      <c r="I163" t="s">
        <v>893</v>
      </c>
      <c r="J163" t="s">
        <v>490</v>
      </c>
    </row>
    <row r="164" spans="1:10" x14ac:dyDescent="0.25">
      <c r="A164" t="s">
        <v>180</v>
      </c>
      <c r="B164" s="1">
        <v>46241</v>
      </c>
      <c r="C164" t="s">
        <v>8</v>
      </c>
      <c r="D164" t="s">
        <v>263</v>
      </c>
      <c r="E164" t="s">
        <v>491</v>
      </c>
      <c r="F164" s="23"/>
      <c r="G164" s="23">
        <v>13.6</v>
      </c>
      <c r="H164" s="1">
        <v>46241</v>
      </c>
      <c r="I164" t="s">
        <v>893</v>
      </c>
      <c r="J164" t="s">
        <v>490</v>
      </c>
    </row>
    <row r="165" spans="1:10" x14ac:dyDescent="0.25">
      <c r="A165" t="s">
        <v>180</v>
      </c>
      <c r="B165" s="1">
        <v>46241</v>
      </c>
      <c r="C165" t="s">
        <v>8</v>
      </c>
      <c r="D165" t="s">
        <v>263</v>
      </c>
      <c r="E165" t="s">
        <v>492</v>
      </c>
      <c r="F165" s="23"/>
      <c r="G165" s="23">
        <v>5.9</v>
      </c>
      <c r="H165" s="1">
        <v>46241</v>
      </c>
      <c r="I165" t="s">
        <v>893</v>
      </c>
      <c r="J165" t="s">
        <v>493</v>
      </c>
    </row>
    <row r="166" spans="1:10" x14ac:dyDescent="0.25">
      <c r="A166" t="s">
        <v>180</v>
      </c>
      <c r="B166" s="1">
        <v>46241</v>
      </c>
      <c r="C166" t="s">
        <v>8</v>
      </c>
      <c r="D166" t="s">
        <v>263</v>
      </c>
      <c r="E166" t="s">
        <v>494</v>
      </c>
      <c r="F166" s="23"/>
      <c r="G166" s="23">
        <v>5.9</v>
      </c>
      <c r="H166" s="1">
        <v>46241</v>
      </c>
      <c r="I166" t="s">
        <v>893</v>
      </c>
      <c r="J166" t="s">
        <v>493</v>
      </c>
    </row>
    <row r="167" spans="1:10" x14ac:dyDescent="0.25">
      <c r="A167" t="s">
        <v>215</v>
      </c>
      <c r="B167" s="1">
        <v>46246</v>
      </c>
      <c r="C167" t="s">
        <v>8</v>
      </c>
      <c r="D167" t="s">
        <v>263</v>
      </c>
      <c r="E167" t="s">
        <v>755</v>
      </c>
      <c r="F167" s="23">
        <v>343.5</v>
      </c>
      <c r="G167" s="23"/>
      <c r="H167" s="1">
        <v>46246</v>
      </c>
      <c r="I167" t="s">
        <v>893</v>
      </c>
      <c r="J167" t="s">
        <v>756</v>
      </c>
    </row>
    <row r="168" spans="1:10" x14ac:dyDescent="0.25">
      <c r="A168" t="s">
        <v>215</v>
      </c>
      <c r="B168" s="1">
        <v>46246</v>
      </c>
      <c r="C168" t="s">
        <v>8</v>
      </c>
      <c r="D168" t="s">
        <v>263</v>
      </c>
      <c r="E168" t="s">
        <v>757</v>
      </c>
      <c r="F168" s="23">
        <v>343.5</v>
      </c>
      <c r="G168" s="23"/>
      <c r="H168" s="1">
        <v>46246</v>
      </c>
      <c r="I168" t="s">
        <v>893</v>
      </c>
      <c r="J168" t="s">
        <v>756</v>
      </c>
    </row>
    <row r="169" spans="1:10" x14ac:dyDescent="0.25">
      <c r="A169" t="s">
        <v>152</v>
      </c>
      <c r="B169" s="1">
        <v>46246</v>
      </c>
      <c r="C169" t="s">
        <v>8</v>
      </c>
      <c r="D169" t="s">
        <v>263</v>
      </c>
      <c r="E169" t="s">
        <v>758</v>
      </c>
      <c r="F169" s="23"/>
      <c r="G169" s="23">
        <v>37.5</v>
      </c>
      <c r="H169" s="1">
        <v>46246</v>
      </c>
      <c r="I169" t="s">
        <v>893</v>
      </c>
      <c r="J169" t="s">
        <v>759</v>
      </c>
    </row>
    <row r="170" spans="1:10" x14ac:dyDescent="0.25">
      <c r="A170" t="s">
        <v>152</v>
      </c>
      <c r="B170" s="1">
        <v>46246</v>
      </c>
      <c r="C170" t="s">
        <v>8</v>
      </c>
      <c r="D170" t="s">
        <v>263</v>
      </c>
      <c r="E170" t="s">
        <v>760</v>
      </c>
      <c r="F170" s="23"/>
      <c r="G170" s="23">
        <v>37.5</v>
      </c>
      <c r="H170" s="1">
        <v>46246</v>
      </c>
      <c r="I170" t="s">
        <v>893</v>
      </c>
      <c r="J170" t="s">
        <v>759</v>
      </c>
    </row>
    <row r="171" spans="1:10" x14ac:dyDescent="0.25">
      <c r="A171" t="s">
        <v>147</v>
      </c>
      <c r="B171" s="1">
        <v>46246</v>
      </c>
      <c r="C171" t="s">
        <v>8</v>
      </c>
      <c r="D171" t="s">
        <v>263</v>
      </c>
      <c r="E171" t="s">
        <v>761</v>
      </c>
      <c r="F171" s="23"/>
      <c r="G171" s="23">
        <v>12.5</v>
      </c>
      <c r="H171" s="1">
        <v>46246</v>
      </c>
      <c r="I171" t="s">
        <v>893</v>
      </c>
      <c r="J171" t="s">
        <v>762</v>
      </c>
    </row>
    <row r="172" spans="1:10" x14ac:dyDescent="0.25">
      <c r="A172" t="s">
        <v>147</v>
      </c>
      <c r="B172" s="1">
        <v>46246</v>
      </c>
      <c r="C172" t="s">
        <v>8</v>
      </c>
      <c r="D172" t="s">
        <v>263</v>
      </c>
      <c r="E172" t="s">
        <v>763</v>
      </c>
      <c r="F172" s="23"/>
      <c r="G172" s="23">
        <v>12.5</v>
      </c>
      <c r="H172" s="1">
        <v>46246</v>
      </c>
      <c r="I172" t="s">
        <v>893</v>
      </c>
      <c r="J172" t="s">
        <v>762</v>
      </c>
    </row>
    <row r="173" spans="1:10" x14ac:dyDescent="0.25">
      <c r="A173" t="s">
        <v>309</v>
      </c>
      <c r="B173" s="1">
        <v>46218</v>
      </c>
      <c r="C173" t="s">
        <v>8</v>
      </c>
      <c r="D173" t="s">
        <v>386</v>
      </c>
      <c r="E173" t="s">
        <v>387</v>
      </c>
      <c r="F173" s="23">
        <v>185</v>
      </c>
      <c r="G173" s="23"/>
      <c r="H173" s="1">
        <v>46234</v>
      </c>
      <c r="I173" t="s">
        <v>893</v>
      </c>
      <c r="J173" t="s">
        <v>388</v>
      </c>
    </row>
    <row r="174" spans="1:10" x14ac:dyDescent="0.25">
      <c r="A174" t="s">
        <v>309</v>
      </c>
      <c r="B174" s="1">
        <v>46218</v>
      </c>
      <c r="C174" t="s">
        <v>8</v>
      </c>
      <c r="D174" t="s">
        <v>386</v>
      </c>
      <c r="E174" t="s">
        <v>389</v>
      </c>
      <c r="F174" s="23">
        <v>185</v>
      </c>
      <c r="G174" s="23"/>
      <c r="H174" s="1">
        <v>46234</v>
      </c>
      <c r="I174" t="s">
        <v>893</v>
      </c>
      <c r="J174" t="s">
        <v>388</v>
      </c>
    </row>
    <row r="175" spans="1:10" x14ac:dyDescent="0.25">
      <c r="A175" t="s">
        <v>446</v>
      </c>
      <c r="B175" s="1">
        <v>46238</v>
      </c>
      <c r="C175" t="s">
        <v>8</v>
      </c>
      <c r="D175" t="s">
        <v>386</v>
      </c>
      <c r="E175" t="s">
        <v>583</v>
      </c>
      <c r="F175" s="23">
        <v>260.25</v>
      </c>
      <c r="G175" s="23"/>
      <c r="H175" s="1">
        <v>46255</v>
      </c>
      <c r="I175" t="s">
        <v>893</v>
      </c>
      <c r="J175" t="s">
        <v>584</v>
      </c>
    </row>
    <row r="176" spans="1:10" x14ac:dyDescent="0.25">
      <c r="A176" t="s">
        <v>446</v>
      </c>
      <c r="B176" s="1">
        <v>46238</v>
      </c>
      <c r="C176" t="s">
        <v>8</v>
      </c>
      <c r="D176" t="s">
        <v>386</v>
      </c>
      <c r="E176" t="s">
        <v>585</v>
      </c>
      <c r="F176" s="23">
        <v>260.25</v>
      </c>
      <c r="G176" s="23"/>
      <c r="H176" s="1">
        <v>46255</v>
      </c>
      <c r="I176" t="s">
        <v>893</v>
      </c>
      <c r="J176" t="s">
        <v>584</v>
      </c>
    </row>
    <row r="177" spans="1:10" x14ac:dyDescent="0.25">
      <c r="A177" t="s">
        <v>147</v>
      </c>
      <c r="B177" s="1">
        <v>46177</v>
      </c>
      <c r="C177" t="s">
        <v>8</v>
      </c>
      <c r="D177" t="s">
        <v>9</v>
      </c>
      <c r="E177" t="s">
        <v>195</v>
      </c>
      <c r="F177" s="23">
        <v>157.5</v>
      </c>
      <c r="G177" s="23"/>
      <c r="H177" s="1">
        <v>46209</v>
      </c>
      <c r="I177" t="s">
        <v>893</v>
      </c>
      <c r="J177" t="s">
        <v>196</v>
      </c>
    </row>
    <row r="178" spans="1:10" x14ac:dyDescent="0.25">
      <c r="A178" t="s">
        <v>190</v>
      </c>
      <c r="B178" s="1">
        <v>46190</v>
      </c>
      <c r="C178" t="s">
        <v>8</v>
      </c>
      <c r="D178" t="s">
        <v>9</v>
      </c>
      <c r="E178" t="s">
        <v>224</v>
      </c>
      <c r="F178" s="23">
        <v>140</v>
      </c>
      <c r="G178" s="23"/>
      <c r="H178" s="1">
        <v>46213</v>
      </c>
      <c r="I178" t="s">
        <v>893</v>
      </c>
      <c r="J178" t="s">
        <v>225</v>
      </c>
    </row>
    <row r="179" spans="1:10" x14ac:dyDescent="0.25">
      <c r="A179" t="s">
        <v>215</v>
      </c>
      <c r="B179" s="1">
        <v>46205</v>
      </c>
      <c r="C179" t="s">
        <v>8</v>
      </c>
      <c r="D179" t="s">
        <v>9</v>
      </c>
      <c r="E179" t="s">
        <v>264</v>
      </c>
      <c r="F179" s="23">
        <v>175</v>
      </c>
      <c r="G179" s="23"/>
      <c r="H179" s="1">
        <v>46220</v>
      </c>
      <c r="I179" t="s">
        <v>893</v>
      </c>
      <c r="J179" t="s">
        <v>265</v>
      </c>
    </row>
    <row r="180" spans="1:10" x14ac:dyDescent="0.25">
      <c r="A180" t="s">
        <v>184</v>
      </c>
      <c r="B180" s="1">
        <v>46176</v>
      </c>
      <c r="C180" t="s">
        <v>8</v>
      </c>
      <c r="D180" t="s">
        <v>9</v>
      </c>
      <c r="E180" t="s">
        <v>283</v>
      </c>
      <c r="F180" s="23">
        <v>262.5</v>
      </c>
      <c r="G180" s="23"/>
      <c r="H180" s="1">
        <v>46222</v>
      </c>
      <c r="I180" t="s">
        <v>893</v>
      </c>
      <c r="J180" t="s">
        <v>284</v>
      </c>
    </row>
    <row r="181" spans="1:10" x14ac:dyDescent="0.25">
      <c r="A181" t="s">
        <v>204</v>
      </c>
      <c r="B181" s="1">
        <v>46175</v>
      </c>
      <c r="C181" t="s">
        <v>8</v>
      </c>
      <c r="D181" t="s">
        <v>9</v>
      </c>
      <c r="E181" t="s">
        <v>337</v>
      </c>
      <c r="F181" s="23">
        <v>157.5</v>
      </c>
      <c r="G181" s="23"/>
      <c r="H181" s="1">
        <v>46228</v>
      </c>
      <c r="I181" t="s">
        <v>893</v>
      </c>
      <c r="J181" t="s">
        <v>338</v>
      </c>
    </row>
    <row r="182" spans="1:10" x14ac:dyDescent="0.25">
      <c r="A182" t="s">
        <v>233</v>
      </c>
      <c r="B182" s="1">
        <v>46177</v>
      </c>
      <c r="C182" t="s">
        <v>8</v>
      </c>
      <c r="D182" t="s">
        <v>9</v>
      </c>
      <c r="E182" t="s">
        <v>344</v>
      </c>
      <c r="F182" s="23">
        <v>262.5</v>
      </c>
      <c r="G182" s="23"/>
      <c r="H182" s="1">
        <v>46230</v>
      </c>
      <c r="I182" t="s">
        <v>893</v>
      </c>
      <c r="J182" t="s">
        <v>345</v>
      </c>
    </row>
    <row r="183" spans="1:10" x14ac:dyDescent="0.25">
      <c r="A183" t="s">
        <v>309</v>
      </c>
      <c r="B183" s="1">
        <v>46218</v>
      </c>
      <c r="C183" t="s">
        <v>8</v>
      </c>
      <c r="D183" t="s">
        <v>9</v>
      </c>
      <c r="E183" t="s">
        <v>390</v>
      </c>
      <c r="F183" s="23">
        <v>157.5</v>
      </c>
      <c r="G183" s="23"/>
      <c r="H183" s="1">
        <v>46234</v>
      </c>
      <c r="I183" t="s">
        <v>893</v>
      </c>
      <c r="J183" t="s">
        <v>391</v>
      </c>
    </row>
    <row r="184" spans="1:10" x14ac:dyDescent="0.25">
      <c r="A184" t="s">
        <v>212</v>
      </c>
      <c r="B184" s="1">
        <v>46178</v>
      </c>
      <c r="C184" t="s">
        <v>8</v>
      </c>
      <c r="D184" t="s">
        <v>9</v>
      </c>
      <c r="E184" t="s">
        <v>405</v>
      </c>
      <c r="F184" s="23">
        <v>227.5</v>
      </c>
      <c r="G184" s="23"/>
      <c r="H184" s="1">
        <v>46235</v>
      </c>
      <c r="I184" t="s">
        <v>893</v>
      </c>
      <c r="J184" t="s">
        <v>406</v>
      </c>
    </row>
    <row r="185" spans="1:10" x14ac:dyDescent="0.25">
      <c r="A185" t="s">
        <v>290</v>
      </c>
      <c r="B185" s="1">
        <v>46181</v>
      </c>
      <c r="C185" t="s">
        <v>8</v>
      </c>
      <c r="D185" t="s">
        <v>9</v>
      </c>
      <c r="E185" t="s">
        <v>465</v>
      </c>
      <c r="F185" s="23">
        <v>122.5</v>
      </c>
      <c r="G185" s="23"/>
      <c r="H185" s="1">
        <v>46240</v>
      </c>
      <c r="I185" t="s">
        <v>893</v>
      </c>
      <c r="J185" t="s">
        <v>466</v>
      </c>
    </row>
    <row r="186" spans="1:10" x14ac:dyDescent="0.25">
      <c r="A186" t="s">
        <v>462</v>
      </c>
      <c r="B186" s="1">
        <v>46218</v>
      </c>
      <c r="C186" t="s">
        <v>8</v>
      </c>
      <c r="D186" t="s">
        <v>9</v>
      </c>
      <c r="E186" t="s">
        <v>495</v>
      </c>
      <c r="F186" s="23">
        <v>227.5</v>
      </c>
      <c r="G186" s="23"/>
      <c r="H186" s="1">
        <v>46241</v>
      </c>
      <c r="I186" t="s">
        <v>893</v>
      </c>
      <c r="J186" t="s">
        <v>496</v>
      </c>
    </row>
    <row r="187" spans="1:10" x14ac:dyDescent="0.25">
      <c r="A187" t="s">
        <v>180</v>
      </c>
      <c r="B187" s="1">
        <v>46241</v>
      </c>
      <c r="C187" t="s">
        <v>8</v>
      </c>
      <c r="D187" t="s">
        <v>9</v>
      </c>
      <c r="E187" t="s">
        <v>497</v>
      </c>
      <c r="F187" s="23">
        <v>70</v>
      </c>
      <c r="G187" s="23"/>
      <c r="H187" s="1">
        <v>46241</v>
      </c>
      <c r="I187" t="s">
        <v>893</v>
      </c>
      <c r="J187" t="s">
        <v>498</v>
      </c>
    </row>
    <row r="188" spans="1:10" x14ac:dyDescent="0.25">
      <c r="A188" t="s">
        <v>180</v>
      </c>
      <c r="B188" s="1">
        <v>46241</v>
      </c>
      <c r="C188" t="s">
        <v>8</v>
      </c>
      <c r="D188" t="s">
        <v>9</v>
      </c>
      <c r="E188" t="s">
        <v>499</v>
      </c>
      <c r="F188" s="23">
        <v>35</v>
      </c>
      <c r="G188" s="23"/>
      <c r="H188" s="1">
        <v>46241</v>
      </c>
      <c r="I188" t="s">
        <v>893</v>
      </c>
      <c r="J188" t="s">
        <v>500</v>
      </c>
    </row>
    <row r="189" spans="1:10" x14ac:dyDescent="0.25">
      <c r="A189" t="s">
        <v>198</v>
      </c>
      <c r="B189" s="1">
        <v>46181</v>
      </c>
      <c r="C189" t="s">
        <v>8</v>
      </c>
      <c r="D189" t="s">
        <v>9</v>
      </c>
      <c r="E189" t="s">
        <v>550</v>
      </c>
      <c r="F189" s="23">
        <v>192.5</v>
      </c>
      <c r="G189" s="23"/>
      <c r="H189" s="1">
        <v>46250</v>
      </c>
      <c r="I189" t="s">
        <v>893</v>
      </c>
      <c r="J189" t="s">
        <v>551</v>
      </c>
    </row>
    <row r="190" spans="1:10" x14ac:dyDescent="0.25">
      <c r="A190" t="s">
        <v>287</v>
      </c>
      <c r="B190" s="1">
        <v>46238</v>
      </c>
      <c r="C190" t="s">
        <v>8</v>
      </c>
      <c r="D190" t="s">
        <v>9</v>
      </c>
      <c r="E190" t="s">
        <v>586</v>
      </c>
      <c r="F190" s="23">
        <v>17.5</v>
      </c>
      <c r="G190" s="23"/>
      <c r="H190" s="1">
        <v>46255</v>
      </c>
      <c r="I190" t="s">
        <v>893</v>
      </c>
      <c r="J190" t="s">
        <v>587</v>
      </c>
    </row>
    <row r="191" spans="1:10" x14ac:dyDescent="0.25">
      <c r="A191" t="s">
        <v>287</v>
      </c>
      <c r="B191" s="1">
        <v>46238</v>
      </c>
      <c r="C191" t="s">
        <v>8</v>
      </c>
      <c r="D191" t="s">
        <v>9</v>
      </c>
      <c r="E191" t="s">
        <v>588</v>
      </c>
      <c r="F191" s="23">
        <v>17.5</v>
      </c>
      <c r="G191" s="23"/>
      <c r="H191" s="1">
        <v>46255</v>
      </c>
      <c r="I191" t="s">
        <v>893</v>
      </c>
      <c r="J191" t="s">
        <v>589</v>
      </c>
    </row>
    <row r="192" spans="1:10" x14ac:dyDescent="0.25">
      <c r="A192" t="s">
        <v>446</v>
      </c>
      <c r="B192" s="1">
        <v>46238</v>
      </c>
      <c r="C192" t="s">
        <v>8</v>
      </c>
      <c r="D192" t="s">
        <v>9</v>
      </c>
      <c r="E192" t="s">
        <v>590</v>
      </c>
      <c r="F192" s="23">
        <v>192.5</v>
      </c>
      <c r="G192" s="23"/>
      <c r="H192" s="1">
        <v>46255</v>
      </c>
      <c r="I192" t="s">
        <v>893</v>
      </c>
      <c r="J192" t="s">
        <v>591</v>
      </c>
    </row>
    <row r="193" spans="1:10" x14ac:dyDescent="0.25">
      <c r="A193" t="s">
        <v>366</v>
      </c>
      <c r="B193" s="1">
        <v>46241</v>
      </c>
      <c r="C193" t="s">
        <v>8</v>
      </c>
      <c r="D193" t="s">
        <v>9</v>
      </c>
      <c r="E193" t="s">
        <v>606</v>
      </c>
      <c r="F193" s="23">
        <v>262.5</v>
      </c>
      <c r="G193" s="23"/>
      <c r="H193" s="1">
        <v>46262</v>
      </c>
      <c r="I193" t="s">
        <v>893</v>
      </c>
      <c r="J193" t="s">
        <v>607</v>
      </c>
    </row>
    <row r="194" spans="1:10" x14ac:dyDescent="0.25">
      <c r="A194" t="s">
        <v>348</v>
      </c>
      <c r="B194" s="1">
        <v>46245</v>
      </c>
      <c r="C194" t="s">
        <v>8</v>
      </c>
      <c r="D194" t="s">
        <v>9</v>
      </c>
      <c r="E194" t="s">
        <v>724</v>
      </c>
      <c r="F194" s="23">
        <v>245</v>
      </c>
      <c r="G194" s="23"/>
      <c r="H194" s="1">
        <v>46269</v>
      </c>
      <c r="I194" t="s">
        <v>893</v>
      </c>
      <c r="J194" t="s">
        <v>725</v>
      </c>
    </row>
    <row r="195" spans="1:10" x14ac:dyDescent="0.25">
      <c r="A195" t="s">
        <v>467</v>
      </c>
      <c r="B195" s="1">
        <v>46241</v>
      </c>
      <c r="C195" t="s">
        <v>8</v>
      </c>
      <c r="D195" t="s">
        <v>9</v>
      </c>
      <c r="E195" t="s">
        <v>651</v>
      </c>
      <c r="F195" s="23">
        <v>35</v>
      </c>
      <c r="G195" s="23"/>
      <c r="H195" s="1">
        <v>46274</v>
      </c>
      <c r="I195" t="s">
        <v>893</v>
      </c>
      <c r="J195" t="s">
        <v>652</v>
      </c>
    </row>
    <row r="196" spans="1:10" x14ac:dyDescent="0.25">
      <c r="A196" t="s">
        <v>554</v>
      </c>
      <c r="B196" s="1">
        <v>46248</v>
      </c>
      <c r="C196" t="s">
        <v>8</v>
      </c>
      <c r="D196" t="s">
        <v>9</v>
      </c>
      <c r="E196" t="s">
        <v>934</v>
      </c>
      <c r="F196" s="23">
        <v>262.5</v>
      </c>
      <c r="G196" s="23"/>
      <c r="H196" s="1">
        <v>46276</v>
      </c>
      <c r="I196" t="s">
        <v>893</v>
      </c>
      <c r="J196" t="s">
        <v>935</v>
      </c>
    </row>
    <row r="197" spans="1:10" x14ac:dyDescent="0.25">
      <c r="A197" t="s">
        <v>467</v>
      </c>
      <c r="B197" s="1">
        <v>46241</v>
      </c>
      <c r="C197" t="s">
        <v>8</v>
      </c>
      <c r="D197" t="s">
        <v>9</v>
      </c>
      <c r="E197" t="s">
        <v>683</v>
      </c>
      <c r="F197" s="23">
        <v>315</v>
      </c>
      <c r="G197" s="23"/>
      <c r="H197" s="1">
        <v>46278</v>
      </c>
      <c r="I197" t="s">
        <v>893</v>
      </c>
      <c r="J197" t="s">
        <v>684</v>
      </c>
    </row>
    <row r="198" spans="1:10" x14ac:dyDescent="0.25">
      <c r="A198" t="s">
        <v>233</v>
      </c>
      <c r="B198" s="1">
        <v>46177</v>
      </c>
      <c r="C198" t="s">
        <v>8</v>
      </c>
      <c r="D198" t="s">
        <v>339</v>
      </c>
      <c r="E198" t="s">
        <v>340</v>
      </c>
      <c r="F198" s="23">
        <v>144</v>
      </c>
      <c r="G198" s="23"/>
      <c r="H198" s="1">
        <v>46229</v>
      </c>
      <c r="I198" t="s">
        <v>893</v>
      </c>
      <c r="J198" t="s">
        <v>341</v>
      </c>
    </row>
    <row r="199" spans="1:10" x14ac:dyDescent="0.25">
      <c r="A199" t="s">
        <v>290</v>
      </c>
      <c r="B199" s="1">
        <v>46181</v>
      </c>
      <c r="C199" t="s">
        <v>8</v>
      </c>
      <c r="D199" t="s">
        <v>339</v>
      </c>
      <c r="E199" t="s">
        <v>501</v>
      </c>
      <c r="F199" s="23">
        <v>176</v>
      </c>
      <c r="G199" s="23"/>
      <c r="H199" s="1">
        <v>46241</v>
      </c>
      <c r="I199" t="s">
        <v>893</v>
      </c>
      <c r="J199" t="s">
        <v>502</v>
      </c>
    </row>
    <row r="200" spans="1:10" x14ac:dyDescent="0.25">
      <c r="A200" t="s">
        <v>462</v>
      </c>
      <c r="B200" s="1">
        <v>46203</v>
      </c>
      <c r="C200" t="s">
        <v>8</v>
      </c>
      <c r="D200" t="s">
        <v>339</v>
      </c>
      <c r="E200" t="s">
        <v>503</v>
      </c>
      <c r="F200" s="23">
        <v>304</v>
      </c>
      <c r="G200" s="23"/>
      <c r="H200" s="1">
        <v>46241</v>
      </c>
      <c r="I200" t="s">
        <v>893</v>
      </c>
      <c r="J200" t="s">
        <v>504</v>
      </c>
    </row>
    <row r="201" spans="1:10" x14ac:dyDescent="0.25">
      <c r="A201" t="s">
        <v>115</v>
      </c>
      <c r="B201" s="1">
        <v>46245</v>
      </c>
      <c r="C201" t="s">
        <v>8</v>
      </c>
      <c r="D201" t="s">
        <v>339</v>
      </c>
      <c r="E201" t="s">
        <v>764</v>
      </c>
      <c r="F201" s="23">
        <v>189</v>
      </c>
      <c r="G201" s="23"/>
      <c r="H201" s="1">
        <v>46245</v>
      </c>
      <c r="I201" t="s">
        <v>893</v>
      </c>
      <c r="J201" t="s">
        <v>765</v>
      </c>
    </row>
    <row r="202" spans="1:10" x14ac:dyDescent="0.25">
      <c r="A202" t="s">
        <v>348</v>
      </c>
      <c r="B202" s="1">
        <v>46247</v>
      </c>
      <c r="C202" t="s">
        <v>8</v>
      </c>
      <c r="D202" t="s">
        <v>339</v>
      </c>
      <c r="E202" t="s">
        <v>936</v>
      </c>
      <c r="F202" s="23"/>
      <c r="G202" s="23">
        <v>85</v>
      </c>
      <c r="H202" s="1">
        <v>46247</v>
      </c>
      <c r="I202" t="s">
        <v>893</v>
      </c>
      <c r="J202" t="s">
        <v>937</v>
      </c>
    </row>
    <row r="203" spans="1:10" x14ac:dyDescent="0.25">
      <c r="A203" t="s">
        <v>467</v>
      </c>
      <c r="B203" s="1">
        <v>46241</v>
      </c>
      <c r="C203" t="s">
        <v>8</v>
      </c>
      <c r="D203" t="s">
        <v>339</v>
      </c>
      <c r="E203" t="s">
        <v>653</v>
      </c>
      <c r="F203" s="23">
        <v>160</v>
      </c>
      <c r="G203" s="23"/>
      <c r="H203" s="1">
        <v>46274</v>
      </c>
      <c r="I203" t="s">
        <v>893</v>
      </c>
      <c r="J203" t="s">
        <v>654</v>
      </c>
    </row>
    <row r="204" spans="1:10" x14ac:dyDescent="0.25">
      <c r="A204" t="s">
        <v>446</v>
      </c>
      <c r="B204" s="1">
        <v>46238</v>
      </c>
      <c r="C204" t="s">
        <v>8</v>
      </c>
      <c r="D204" t="s">
        <v>266</v>
      </c>
      <c r="E204" t="s">
        <v>540</v>
      </c>
      <c r="F204" s="23">
        <v>365.9</v>
      </c>
      <c r="G204" s="23"/>
      <c r="H204" s="1">
        <v>46248</v>
      </c>
      <c r="I204" t="s">
        <v>893</v>
      </c>
      <c r="J204" t="s">
        <v>457</v>
      </c>
    </row>
    <row r="205" spans="1:10" x14ac:dyDescent="0.25">
      <c r="A205" t="s">
        <v>212</v>
      </c>
      <c r="B205" s="1">
        <v>46178</v>
      </c>
      <c r="C205" t="s">
        <v>8</v>
      </c>
      <c r="D205" t="s">
        <v>407</v>
      </c>
      <c r="E205" t="s">
        <v>408</v>
      </c>
      <c r="F205" s="23">
        <v>2024</v>
      </c>
      <c r="G205" s="23"/>
      <c r="H205" s="1">
        <v>46235</v>
      </c>
      <c r="I205" t="s">
        <v>893</v>
      </c>
      <c r="J205" t="s">
        <v>409</v>
      </c>
    </row>
    <row r="206" spans="1:10" x14ac:dyDescent="0.25">
      <c r="A206" t="s">
        <v>159</v>
      </c>
      <c r="B206" s="1">
        <v>46178</v>
      </c>
      <c r="C206" t="s">
        <v>8</v>
      </c>
      <c r="D206" t="s">
        <v>392</v>
      </c>
      <c r="E206" t="s">
        <v>393</v>
      </c>
      <c r="F206" s="23">
        <v>400</v>
      </c>
      <c r="G206" s="23"/>
      <c r="H206" s="1">
        <v>46234</v>
      </c>
      <c r="I206" t="s">
        <v>893</v>
      </c>
      <c r="J206" t="s">
        <v>394</v>
      </c>
    </row>
    <row r="207" spans="1:10" x14ac:dyDescent="0.25">
      <c r="A207" t="s">
        <v>348</v>
      </c>
      <c r="B207" s="1">
        <v>46248</v>
      </c>
      <c r="C207" t="s">
        <v>8</v>
      </c>
      <c r="D207" t="s">
        <v>392</v>
      </c>
      <c r="E207" t="s">
        <v>938</v>
      </c>
      <c r="F207" s="23">
        <v>300</v>
      </c>
      <c r="G207" s="23"/>
      <c r="H207" s="1">
        <v>46251</v>
      </c>
      <c r="I207" t="s">
        <v>893</v>
      </c>
      <c r="J207" t="s">
        <v>939</v>
      </c>
    </row>
    <row r="208" spans="1:10" x14ac:dyDescent="0.25">
      <c r="A208" t="s">
        <v>159</v>
      </c>
      <c r="B208" s="1">
        <v>46178</v>
      </c>
      <c r="C208" t="s">
        <v>8</v>
      </c>
      <c r="D208" t="s">
        <v>55</v>
      </c>
      <c r="E208" t="s">
        <v>346</v>
      </c>
      <c r="F208" s="23">
        <v>1426</v>
      </c>
      <c r="G208" s="23"/>
      <c r="H208" s="1">
        <v>46230</v>
      </c>
      <c r="I208" t="s">
        <v>893</v>
      </c>
      <c r="J208" t="s">
        <v>347</v>
      </c>
    </row>
    <row r="209" spans="1:10" x14ac:dyDescent="0.25">
      <c r="A209" t="s">
        <v>38</v>
      </c>
      <c r="B209" s="1">
        <v>46246</v>
      </c>
      <c r="C209" t="s">
        <v>8</v>
      </c>
      <c r="D209" t="s">
        <v>55</v>
      </c>
      <c r="E209" t="s">
        <v>766</v>
      </c>
      <c r="F209" s="23">
        <v>1253.4000000000001</v>
      </c>
      <c r="G209" s="23"/>
      <c r="H209" s="1">
        <v>46246</v>
      </c>
      <c r="I209" t="s">
        <v>893</v>
      </c>
      <c r="J209" t="s">
        <v>767</v>
      </c>
    </row>
    <row r="210" spans="1:10" x14ac:dyDescent="0.25">
      <c r="A210" t="s">
        <v>115</v>
      </c>
      <c r="B210" s="1">
        <v>46246</v>
      </c>
      <c r="C210" t="s">
        <v>8</v>
      </c>
      <c r="D210" t="s">
        <v>55</v>
      </c>
      <c r="E210" t="s">
        <v>768</v>
      </c>
      <c r="F210" s="23"/>
      <c r="G210" s="23">
        <v>129.08000000000001</v>
      </c>
      <c r="H210" s="1">
        <v>46246</v>
      </c>
      <c r="I210" t="s">
        <v>893</v>
      </c>
      <c r="J210" t="s">
        <v>769</v>
      </c>
    </row>
    <row r="211" spans="1:10" x14ac:dyDescent="0.25">
      <c r="A211" t="s">
        <v>204</v>
      </c>
      <c r="B211" s="1">
        <v>46246</v>
      </c>
      <c r="C211" t="s">
        <v>8</v>
      </c>
      <c r="D211" t="s">
        <v>55</v>
      </c>
      <c r="E211" t="s">
        <v>770</v>
      </c>
      <c r="F211" s="23">
        <v>971.8</v>
      </c>
      <c r="G211" s="23"/>
      <c r="H211" s="1">
        <v>46246</v>
      </c>
      <c r="I211" t="s">
        <v>893</v>
      </c>
      <c r="J211" t="s">
        <v>771</v>
      </c>
    </row>
    <row r="212" spans="1:10" x14ac:dyDescent="0.25">
      <c r="A212" t="s">
        <v>212</v>
      </c>
      <c r="B212" s="1">
        <v>46184</v>
      </c>
      <c r="C212" t="s">
        <v>8</v>
      </c>
      <c r="D212" t="s">
        <v>55</v>
      </c>
      <c r="E212" t="s">
        <v>541</v>
      </c>
      <c r="F212" s="23">
        <v>72</v>
      </c>
      <c r="G212" s="23"/>
      <c r="H212" s="1">
        <v>46248</v>
      </c>
      <c r="I212" t="s">
        <v>893</v>
      </c>
      <c r="J212" t="s">
        <v>542</v>
      </c>
    </row>
    <row r="213" spans="1:10" x14ac:dyDescent="0.25">
      <c r="A213" t="s">
        <v>348</v>
      </c>
      <c r="B213" s="1">
        <v>46245</v>
      </c>
      <c r="C213" t="s">
        <v>8</v>
      </c>
      <c r="D213" t="s">
        <v>55</v>
      </c>
      <c r="E213" t="s">
        <v>718</v>
      </c>
      <c r="F213" s="23">
        <v>1189.4000000000001</v>
      </c>
      <c r="G213" s="23"/>
      <c r="H213" s="1">
        <v>46255</v>
      </c>
      <c r="I213" t="s">
        <v>893</v>
      </c>
      <c r="J213" t="s">
        <v>719</v>
      </c>
    </row>
    <row r="214" spans="1:10" x14ac:dyDescent="0.25">
      <c r="A214" t="s">
        <v>287</v>
      </c>
      <c r="B214" s="1">
        <v>46246</v>
      </c>
      <c r="C214" t="s">
        <v>8</v>
      </c>
      <c r="D214" t="s">
        <v>55</v>
      </c>
      <c r="E214" t="s">
        <v>772</v>
      </c>
      <c r="F214" s="23">
        <v>1228</v>
      </c>
      <c r="G214" s="23"/>
      <c r="H214" s="1">
        <v>46255</v>
      </c>
      <c r="I214" t="s">
        <v>893</v>
      </c>
      <c r="J214" t="s">
        <v>773</v>
      </c>
    </row>
    <row r="215" spans="1:10" x14ac:dyDescent="0.25">
      <c r="A215" t="s">
        <v>287</v>
      </c>
      <c r="B215" s="1">
        <v>46246</v>
      </c>
      <c r="C215" t="s">
        <v>8</v>
      </c>
      <c r="D215" t="s">
        <v>55</v>
      </c>
      <c r="E215" t="s">
        <v>774</v>
      </c>
      <c r="F215" s="23">
        <v>1248.5999999999999</v>
      </c>
      <c r="G215" s="23"/>
      <c r="H215" s="1">
        <v>46255</v>
      </c>
      <c r="I215" t="s">
        <v>893</v>
      </c>
      <c r="J215" t="s">
        <v>354</v>
      </c>
    </row>
    <row r="216" spans="1:10" x14ac:dyDescent="0.25">
      <c r="A216" t="s">
        <v>554</v>
      </c>
      <c r="B216" s="1">
        <v>46248</v>
      </c>
      <c r="C216" t="s">
        <v>8</v>
      </c>
      <c r="D216" t="s">
        <v>55</v>
      </c>
      <c r="E216" t="s">
        <v>940</v>
      </c>
      <c r="F216" s="23">
        <v>1243.5999999999999</v>
      </c>
      <c r="G216" s="23"/>
      <c r="H216" s="1">
        <v>46269</v>
      </c>
      <c r="I216" t="s">
        <v>893</v>
      </c>
      <c r="J216" t="s">
        <v>941</v>
      </c>
    </row>
    <row r="217" spans="1:10" x14ac:dyDescent="0.25">
      <c r="A217" t="s">
        <v>348</v>
      </c>
      <c r="B217" s="1">
        <v>46184</v>
      </c>
      <c r="C217" t="s">
        <v>8</v>
      </c>
      <c r="D217" t="s">
        <v>610</v>
      </c>
      <c r="E217" t="s">
        <v>611</v>
      </c>
      <c r="F217" s="23">
        <v>348</v>
      </c>
      <c r="G217" s="23"/>
      <c r="H217" s="1">
        <v>46265</v>
      </c>
      <c r="I217" t="s">
        <v>893</v>
      </c>
      <c r="J217" t="s">
        <v>612</v>
      </c>
    </row>
    <row r="218" spans="1:10" x14ac:dyDescent="0.25">
      <c r="A218" t="s">
        <v>462</v>
      </c>
      <c r="B218" s="1">
        <v>46211</v>
      </c>
      <c r="C218" t="s">
        <v>8</v>
      </c>
      <c r="D218" t="s">
        <v>505</v>
      </c>
      <c r="E218" t="s">
        <v>506</v>
      </c>
      <c r="F218" s="23">
        <v>566.4</v>
      </c>
      <c r="G218" s="23"/>
      <c r="H218" s="1">
        <v>46241</v>
      </c>
      <c r="I218" t="s">
        <v>893</v>
      </c>
      <c r="J218" t="s">
        <v>507</v>
      </c>
    </row>
    <row r="219" spans="1:10" x14ac:dyDescent="0.25">
      <c r="A219" t="s">
        <v>462</v>
      </c>
      <c r="B219" s="1">
        <v>46211</v>
      </c>
      <c r="C219" t="s">
        <v>8</v>
      </c>
      <c r="D219" t="s">
        <v>505</v>
      </c>
      <c r="E219" t="s">
        <v>508</v>
      </c>
      <c r="F219" s="23">
        <v>18.88</v>
      </c>
      <c r="G219" s="23"/>
      <c r="H219" s="1">
        <v>46241</v>
      </c>
      <c r="I219" t="s">
        <v>893</v>
      </c>
      <c r="J219" t="s">
        <v>509</v>
      </c>
    </row>
    <row r="220" spans="1:10" x14ac:dyDescent="0.25">
      <c r="A220" t="s">
        <v>462</v>
      </c>
      <c r="B220" s="1">
        <v>46211</v>
      </c>
      <c r="C220" t="s">
        <v>8</v>
      </c>
      <c r="D220" t="s">
        <v>118</v>
      </c>
      <c r="E220" t="s">
        <v>510</v>
      </c>
      <c r="F220" s="23">
        <v>1333.4</v>
      </c>
      <c r="G220" s="23"/>
      <c r="H220" s="1">
        <v>46241</v>
      </c>
      <c r="I220" t="s">
        <v>893</v>
      </c>
      <c r="J220" t="s">
        <v>511</v>
      </c>
    </row>
    <row r="221" spans="1:10" x14ac:dyDescent="0.25">
      <c r="A221" t="s">
        <v>190</v>
      </c>
      <c r="B221" s="1">
        <v>46190</v>
      </c>
      <c r="C221" t="s">
        <v>8</v>
      </c>
      <c r="D221" t="s">
        <v>87</v>
      </c>
      <c r="E221" t="s">
        <v>226</v>
      </c>
      <c r="F221" s="23">
        <v>54</v>
      </c>
      <c r="G221" s="23"/>
      <c r="H221" s="1">
        <v>46213</v>
      </c>
      <c r="I221" t="s">
        <v>893</v>
      </c>
      <c r="J221" t="s">
        <v>227</v>
      </c>
    </row>
    <row r="222" spans="1:10" x14ac:dyDescent="0.25">
      <c r="A222" t="s">
        <v>233</v>
      </c>
      <c r="B222" s="1">
        <v>46178</v>
      </c>
      <c r="C222" t="s">
        <v>8</v>
      </c>
      <c r="D222" t="s">
        <v>87</v>
      </c>
      <c r="E222" t="s">
        <v>267</v>
      </c>
      <c r="F222" s="23">
        <v>74</v>
      </c>
      <c r="G222" s="23"/>
      <c r="H222" s="1">
        <v>46220</v>
      </c>
      <c r="I222" t="s">
        <v>893</v>
      </c>
      <c r="J222" t="s">
        <v>268</v>
      </c>
    </row>
    <row r="223" spans="1:10" x14ac:dyDescent="0.25">
      <c r="A223" t="s">
        <v>121</v>
      </c>
      <c r="B223" s="1">
        <v>46204</v>
      </c>
      <c r="C223" t="s">
        <v>8</v>
      </c>
      <c r="D223" t="s">
        <v>87</v>
      </c>
      <c r="E223" t="s">
        <v>269</v>
      </c>
      <c r="F223" s="23">
        <v>87</v>
      </c>
      <c r="G223" s="23"/>
      <c r="H223" s="1">
        <v>46220</v>
      </c>
      <c r="I223" t="s">
        <v>893</v>
      </c>
      <c r="J223" t="s">
        <v>270</v>
      </c>
    </row>
    <row r="224" spans="1:10" x14ac:dyDescent="0.25">
      <c r="A224" t="s">
        <v>159</v>
      </c>
      <c r="B224" s="1">
        <v>46178</v>
      </c>
      <c r="C224" t="s">
        <v>8</v>
      </c>
      <c r="D224" t="s">
        <v>87</v>
      </c>
      <c r="E224" t="s">
        <v>395</v>
      </c>
      <c r="F224" s="23">
        <v>87</v>
      </c>
      <c r="G224" s="23"/>
      <c r="H224" s="1">
        <v>46234</v>
      </c>
      <c r="I224" t="s">
        <v>893</v>
      </c>
      <c r="J224" t="s">
        <v>396</v>
      </c>
    </row>
    <row r="225" spans="1:10" x14ac:dyDescent="0.25">
      <c r="A225" t="s">
        <v>212</v>
      </c>
      <c r="B225" s="1">
        <v>46178</v>
      </c>
      <c r="C225" t="s">
        <v>8</v>
      </c>
      <c r="D225" t="s">
        <v>87</v>
      </c>
      <c r="E225" t="s">
        <v>397</v>
      </c>
      <c r="F225" s="23">
        <v>137</v>
      </c>
      <c r="G225" s="23"/>
      <c r="H225" s="1">
        <v>46234</v>
      </c>
      <c r="I225" t="s">
        <v>893</v>
      </c>
      <c r="J225" t="s">
        <v>398</v>
      </c>
    </row>
    <row r="226" spans="1:10" x14ac:dyDescent="0.25">
      <c r="A226" t="s">
        <v>147</v>
      </c>
      <c r="B226" s="1">
        <v>46245</v>
      </c>
      <c r="C226" t="s">
        <v>8</v>
      </c>
      <c r="D226" t="s">
        <v>87</v>
      </c>
      <c r="E226" t="s">
        <v>777</v>
      </c>
      <c r="F226" s="23">
        <v>68</v>
      </c>
      <c r="G226" s="23"/>
      <c r="H226" s="1">
        <v>46245</v>
      </c>
      <c r="I226" t="s">
        <v>893</v>
      </c>
      <c r="J226" t="s">
        <v>778</v>
      </c>
    </row>
    <row r="227" spans="1:10" x14ac:dyDescent="0.25">
      <c r="A227" t="s">
        <v>446</v>
      </c>
      <c r="B227" s="1">
        <v>46234</v>
      </c>
      <c r="C227" t="s">
        <v>8</v>
      </c>
      <c r="D227" t="s">
        <v>87</v>
      </c>
      <c r="E227" t="s">
        <v>543</v>
      </c>
      <c r="F227" s="23">
        <v>26</v>
      </c>
      <c r="G227" s="23"/>
      <c r="H227" s="1">
        <v>46248</v>
      </c>
      <c r="I227" t="s">
        <v>893</v>
      </c>
      <c r="J227" t="s">
        <v>544</v>
      </c>
    </row>
    <row r="228" spans="1:10" x14ac:dyDescent="0.25">
      <c r="A228" t="s">
        <v>204</v>
      </c>
      <c r="B228" s="1">
        <v>46248</v>
      </c>
      <c r="C228" t="s">
        <v>8</v>
      </c>
      <c r="D228" t="s">
        <v>87</v>
      </c>
      <c r="E228" t="s">
        <v>963</v>
      </c>
      <c r="F228" s="23">
        <v>111</v>
      </c>
      <c r="G228" s="23"/>
      <c r="H228" s="1">
        <v>46251</v>
      </c>
      <c r="I228" t="s">
        <v>893</v>
      </c>
      <c r="J228" t="s">
        <v>964</v>
      </c>
    </row>
    <row r="229" spans="1:10" x14ac:dyDescent="0.25">
      <c r="A229" t="s">
        <v>348</v>
      </c>
      <c r="B229" s="1">
        <v>46225</v>
      </c>
      <c r="C229" t="s">
        <v>8</v>
      </c>
      <c r="D229" t="s">
        <v>87</v>
      </c>
      <c r="E229" t="s">
        <v>623</v>
      </c>
      <c r="F229" s="23">
        <v>87</v>
      </c>
      <c r="G229" s="23"/>
      <c r="H229" s="1">
        <v>46269</v>
      </c>
      <c r="I229" t="s">
        <v>893</v>
      </c>
      <c r="J229" t="s">
        <v>624</v>
      </c>
    </row>
    <row r="230" spans="1:10" x14ac:dyDescent="0.25">
      <c r="A230" t="s">
        <v>467</v>
      </c>
      <c r="B230" s="1">
        <v>46241</v>
      </c>
      <c r="C230" t="s">
        <v>8</v>
      </c>
      <c r="D230" t="s">
        <v>87</v>
      </c>
      <c r="E230" t="s">
        <v>655</v>
      </c>
      <c r="F230" s="23">
        <v>26</v>
      </c>
      <c r="G230" s="23"/>
      <c r="H230" s="1">
        <v>46274</v>
      </c>
      <c r="I230" t="s">
        <v>893</v>
      </c>
      <c r="J230" t="s">
        <v>656</v>
      </c>
    </row>
    <row r="231" spans="1:10" x14ac:dyDescent="0.25">
      <c r="A231" t="s">
        <v>467</v>
      </c>
      <c r="B231" s="1">
        <v>46241</v>
      </c>
      <c r="C231" t="s">
        <v>8</v>
      </c>
      <c r="D231" t="s">
        <v>87</v>
      </c>
      <c r="E231" t="s">
        <v>657</v>
      </c>
      <c r="F231" s="23">
        <v>32</v>
      </c>
      <c r="G231" s="23"/>
      <c r="H231" s="1">
        <v>46274</v>
      </c>
      <c r="I231" t="s">
        <v>893</v>
      </c>
      <c r="J231" t="s">
        <v>658</v>
      </c>
    </row>
    <row r="232" spans="1:10" x14ac:dyDescent="0.25">
      <c r="A232" t="s">
        <v>467</v>
      </c>
      <c r="B232" s="1">
        <v>46241</v>
      </c>
      <c r="C232" t="s">
        <v>8</v>
      </c>
      <c r="D232" t="s">
        <v>87</v>
      </c>
      <c r="E232" t="s">
        <v>659</v>
      </c>
      <c r="F232" s="23">
        <v>72</v>
      </c>
      <c r="G232" s="23"/>
      <c r="H232" s="1">
        <v>46274</v>
      </c>
      <c r="I232" t="s">
        <v>893</v>
      </c>
      <c r="J232" t="s">
        <v>660</v>
      </c>
    </row>
    <row r="233" spans="1:10" x14ac:dyDescent="0.25">
      <c r="A233" t="s">
        <v>467</v>
      </c>
      <c r="B233" s="1">
        <v>46241</v>
      </c>
      <c r="C233" t="s">
        <v>8</v>
      </c>
      <c r="D233" t="s">
        <v>87</v>
      </c>
      <c r="E233" t="s">
        <v>661</v>
      </c>
      <c r="F233" s="23">
        <v>64</v>
      </c>
      <c r="G233" s="23"/>
      <c r="H233" s="1">
        <v>46274</v>
      </c>
      <c r="I233" t="s">
        <v>893</v>
      </c>
      <c r="J233" t="s">
        <v>662</v>
      </c>
    </row>
    <row r="234" spans="1:10" x14ac:dyDescent="0.25">
      <c r="A234" t="s">
        <v>467</v>
      </c>
      <c r="B234" s="1">
        <v>46241</v>
      </c>
      <c r="C234" t="s">
        <v>8</v>
      </c>
      <c r="D234" t="s">
        <v>87</v>
      </c>
      <c r="E234" t="s">
        <v>663</v>
      </c>
      <c r="F234" s="23">
        <v>35.4</v>
      </c>
      <c r="G234" s="23"/>
      <c r="H234" s="1">
        <v>46274</v>
      </c>
      <c r="I234" t="s">
        <v>893</v>
      </c>
      <c r="J234" t="s">
        <v>664</v>
      </c>
    </row>
    <row r="235" spans="1:10" x14ac:dyDescent="0.25">
      <c r="A235" t="s">
        <v>467</v>
      </c>
      <c r="B235" s="1">
        <v>46241</v>
      </c>
      <c r="C235" t="s">
        <v>8</v>
      </c>
      <c r="D235" t="s">
        <v>87</v>
      </c>
      <c r="E235" t="s">
        <v>665</v>
      </c>
      <c r="F235" s="23">
        <v>23</v>
      </c>
      <c r="G235" s="23"/>
      <c r="H235" s="1">
        <v>46274</v>
      </c>
      <c r="I235" t="s">
        <v>893</v>
      </c>
      <c r="J235" t="s">
        <v>666</v>
      </c>
    </row>
    <row r="236" spans="1:10" x14ac:dyDescent="0.25">
      <c r="A236" t="s">
        <v>467</v>
      </c>
      <c r="B236" s="1">
        <v>46241</v>
      </c>
      <c r="C236" t="s">
        <v>8</v>
      </c>
      <c r="D236" t="s">
        <v>87</v>
      </c>
      <c r="E236" t="s">
        <v>667</v>
      </c>
      <c r="F236" s="23">
        <v>25</v>
      </c>
      <c r="G236" s="23"/>
      <c r="H236" s="1">
        <v>46274</v>
      </c>
      <c r="I236" t="s">
        <v>893</v>
      </c>
      <c r="J236" t="s">
        <v>668</v>
      </c>
    </row>
    <row r="237" spans="1:10" x14ac:dyDescent="0.25">
      <c r="A237" t="s">
        <v>159</v>
      </c>
      <c r="B237" s="1">
        <v>46177</v>
      </c>
      <c r="C237" t="s">
        <v>8</v>
      </c>
      <c r="D237" t="s">
        <v>17</v>
      </c>
      <c r="E237" t="s">
        <v>399</v>
      </c>
      <c r="F237" s="23">
        <v>873.2</v>
      </c>
      <c r="G237" s="23"/>
      <c r="H237" s="1">
        <v>46234</v>
      </c>
      <c r="I237" t="s">
        <v>893</v>
      </c>
      <c r="J237" t="s">
        <v>400</v>
      </c>
    </row>
    <row r="238" spans="1:10" x14ac:dyDescent="0.25">
      <c r="A238" t="s">
        <v>19</v>
      </c>
      <c r="B238" s="1">
        <v>46246</v>
      </c>
      <c r="C238" t="s">
        <v>8</v>
      </c>
      <c r="D238" t="s">
        <v>17</v>
      </c>
      <c r="E238" t="s">
        <v>779</v>
      </c>
      <c r="F238" s="23">
        <v>17.7</v>
      </c>
      <c r="G238" s="23"/>
      <c r="H238" s="1">
        <v>46246</v>
      </c>
      <c r="I238" t="s">
        <v>893</v>
      </c>
      <c r="J238" t="s">
        <v>780</v>
      </c>
    </row>
    <row r="239" spans="1:10" x14ac:dyDescent="0.25">
      <c r="A239" t="s">
        <v>19</v>
      </c>
      <c r="B239" s="1">
        <v>46246</v>
      </c>
      <c r="C239" t="s">
        <v>8</v>
      </c>
      <c r="D239" t="s">
        <v>17</v>
      </c>
      <c r="E239" t="s">
        <v>781</v>
      </c>
      <c r="F239" s="23">
        <v>17.7</v>
      </c>
      <c r="G239" s="23"/>
      <c r="H239" s="1">
        <v>46246</v>
      </c>
      <c r="I239" t="s">
        <v>893</v>
      </c>
      <c r="J239" t="s">
        <v>780</v>
      </c>
    </row>
    <row r="240" spans="1:10" x14ac:dyDescent="0.25">
      <c r="A240" t="s">
        <v>94</v>
      </c>
      <c r="B240" s="1">
        <v>46246</v>
      </c>
      <c r="C240" t="s">
        <v>8</v>
      </c>
      <c r="D240" t="s">
        <v>17</v>
      </c>
      <c r="E240" t="s">
        <v>782</v>
      </c>
      <c r="F240" s="23">
        <v>110.92</v>
      </c>
      <c r="G240" s="23"/>
      <c r="H240" s="1">
        <v>46246</v>
      </c>
      <c r="I240" t="s">
        <v>893</v>
      </c>
      <c r="J240" t="s">
        <v>783</v>
      </c>
    </row>
    <row r="241" spans="1:10" x14ac:dyDescent="0.25">
      <c r="A241" t="s">
        <v>94</v>
      </c>
      <c r="B241" s="1">
        <v>46246</v>
      </c>
      <c r="C241" t="s">
        <v>8</v>
      </c>
      <c r="D241" t="s">
        <v>17</v>
      </c>
      <c r="E241" t="s">
        <v>784</v>
      </c>
      <c r="F241" s="23">
        <v>110.92</v>
      </c>
      <c r="G241" s="23"/>
      <c r="H241" s="1">
        <v>46246</v>
      </c>
      <c r="I241" t="s">
        <v>893</v>
      </c>
      <c r="J241" t="s">
        <v>783</v>
      </c>
    </row>
    <row r="242" spans="1:10" x14ac:dyDescent="0.25">
      <c r="A242" t="s">
        <v>16</v>
      </c>
      <c r="B242" s="1">
        <v>46246</v>
      </c>
      <c r="C242" t="s">
        <v>8</v>
      </c>
      <c r="D242" t="s">
        <v>17</v>
      </c>
      <c r="E242" t="s">
        <v>813</v>
      </c>
      <c r="F242" s="23">
        <v>56.53</v>
      </c>
      <c r="G242" s="23"/>
      <c r="H242" s="1">
        <v>46246</v>
      </c>
      <c r="I242" t="s">
        <v>893</v>
      </c>
      <c r="J242" t="s">
        <v>18</v>
      </c>
    </row>
    <row r="243" spans="1:10" x14ac:dyDescent="0.25">
      <c r="A243" t="s">
        <v>16</v>
      </c>
      <c r="B243" s="1">
        <v>46246</v>
      </c>
      <c r="C243" t="s">
        <v>8</v>
      </c>
      <c r="D243" t="s">
        <v>17</v>
      </c>
      <c r="E243" t="s">
        <v>814</v>
      </c>
      <c r="F243" s="23">
        <v>56.53</v>
      </c>
      <c r="G243" s="23"/>
      <c r="H243" s="1">
        <v>46246</v>
      </c>
      <c r="I243" t="s">
        <v>893</v>
      </c>
      <c r="J243" t="s">
        <v>18</v>
      </c>
    </row>
    <row r="244" spans="1:10" x14ac:dyDescent="0.25">
      <c r="A244" t="s">
        <v>16</v>
      </c>
      <c r="B244" s="1">
        <v>46246</v>
      </c>
      <c r="C244" t="s">
        <v>8</v>
      </c>
      <c r="D244" t="s">
        <v>17</v>
      </c>
      <c r="E244" t="s">
        <v>815</v>
      </c>
      <c r="F244" s="23">
        <v>52.03</v>
      </c>
      <c r="G244" s="23"/>
      <c r="H244" s="1">
        <v>46246</v>
      </c>
      <c r="I244" t="s">
        <v>893</v>
      </c>
      <c r="J244" t="s">
        <v>816</v>
      </c>
    </row>
    <row r="245" spans="1:10" x14ac:dyDescent="0.25">
      <c r="A245" t="s">
        <v>16</v>
      </c>
      <c r="B245" s="1">
        <v>46246</v>
      </c>
      <c r="C245" t="s">
        <v>8</v>
      </c>
      <c r="D245" t="s">
        <v>17</v>
      </c>
      <c r="E245" t="s">
        <v>817</v>
      </c>
      <c r="F245" s="23">
        <v>52.03</v>
      </c>
      <c r="G245" s="23"/>
      <c r="H245" s="1">
        <v>46246</v>
      </c>
      <c r="I245" t="s">
        <v>893</v>
      </c>
      <c r="J245" t="s">
        <v>816</v>
      </c>
    </row>
    <row r="246" spans="1:10" x14ac:dyDescent="0.25">
      <c r="A246" t="s">
        <v>366</v>
      </c>
      <c r="B246" s="1">
        <v>46209</v>
      </c>
      <c r="C246" t="s">
        <v>8</v>
      </c>
      <c r="D246" t="s">
        <v>17</v>
      </c>
      <c r="E246" t="s">
        <v>545</v>
      </c>
      <c r="F246" s="23">
        <v>86.14</v>
      </c>
      <c r="G246" s="23"/>
      <c r="H246" s="1">
        <v>46248</v>
      </c>
      <c r="I246" t="s">
        <v>893</v>
      </c>
      <c r="J246" t="s">
        <v>368</v>
      </c>
    </row>
    <row r="247" spans="1:10" x14ac:dyDescent="0.25">
      <c r="A247" t="s">
        <v>287</v>
      </c>
      <c r="B247" s="1">
        <v>46248</v>
      </c>
      <c r="C247" t="s">
        <v>8</v>
      </c>
      <c r="D247" t="s">
        <v>17</v>
      </c>
      <c r="E247" t="s">
        <v>942</v>
      </c>
      <c r="F247" s="23">
        <v>444.27</v>
      </c>
      <c r="G247" s="23"/>
      <c r="H247" s="1">
        <v>46250</v>
      </c>
      <c r="I247" t="s">
        <v>893</v>
      </c>
      <c r="J247" t="s">
        <v>943</v>
      </c>
    </row>
    <row r="248" spans="1:10" x14ac:dyDescent="0.25">
      <c r="A248" t="s">
        <v>287</v>
      </c>
      <c r="B248" s="1">
        <v>46248</v>
      </c>
      <c r="C248" t="s">
        <v>8</v>
      </c>
      <c r="D248" t="s">
        <v>17</v>
      </c>
      <c r="E248" t="s">
        <v>944</v>
      </c>
      <c r="F248" s="23">
        <v>444.27</v>
      </c>
      <c r="G248" s="23"/>
      <c r="H248" s="1">
        <v>46255</v>
      </c>
      <c r="I248" t="s">
        <v>893</v>
      </c>
      <c r="J248" t="s">
        <v>943</v>
      </c>
    </row>
    <row r="249" spans="1:10" x14ac:dyDescent="0.25">
      <c r="A249" t="s">
        <v>467</v>
      </c>
      <c r="B249" s="1">
        <v>46241</v>
      </c>
      <c r="C249" t="s">
        <v>8</v>
      </c>
      <c r="D249" t="s">
        <v>17</v>
      </c>
      <c r="E249" t="s">
        <v>669</v>
      </c>
      <c r="F249" s="23">
        <v>120.95</v>
      </c>
      <c r="G249" s="23"/>
      <c r="H249" s="1">
        <v>46274</v>
      </c>
      <c r="I249" t="s">
        <v>893</v>
      </c>
      <c r="J249" t="s">
        <v>521</v>
      </c>
    </row>
    <row r="250" spans="1:10" x14ac:dyDescent="0.25">
      <c r="A250" t="s">
        <v>467</v>
      </c>
      <c r="B250" s="1">
        <v>46241</v>
      </c>
      <c r="C250" t="s">
        <v>8</v>
      </c>
      <c r="D250" t="s">
        <v>17</v>
      </c>
      <c r="E250" t="s">
        <v>670</v>
      </c>
      <c r="F250" s="23">
        <v>33.04</v>
      </c>
      <c r="G250" s="23"/>
      <c r="H250" s="1">
        <v>46274</v>
      </c>
      <c r="I250" t="s">
        <v>893</v>
      </c>
      <c r="J250" t="s">
        <v>609</v>
      </c>
    </row>
    <row r="251" spans="1:10" x14ac:dyDescent="0.25">
      <c r="A251" t="s">
        <v>204</v>
      </c>
      <c r="B251" s="1">
        <v>46176</v>
      </c>
      <c r="C251" t="s">
        <v>8</v>
      </c>
      <c r="D251" t="s">
        <v>237</v>
      </c>
      <c r="E251" t="s">
        <v>238</v>
      </c>
      <c r="F251" s="23">
        <v>89</v>
      </c>
      <c r="G251" s="23"/>
      <c r="H251" s="1">
        <v>46218</v>
      </c>
      <c r="I251" t="s">
        <v>893</v>
      </c>
      <c r="J251" t="s">
        <v>239</v>
      </c>
    </row>
    <row r="252" spans="1:10" x14ac:dyDescent="0.25">
      <c r="A252" t="s">
        <v>215</v>
      </c>
      <c r="B252" s="1">
        <v>46205</v>
      </c>
      <c r="C252" t="s">
        <v>8</v>
      </c>
      <c r="D252" t="s">
        <v>237</v>
      </c>
      <c r="E252" t="s">
        <v>271</v>
      </c>
      <c r="F252" s="23">
        <v>45</v>
      </c>
      <c r="G252" s="23"/>
      <c r="H252" s="1">
        <v>46220</v>
      </c>
      <c r="I252" t="s">
        <v>893</v>
      </c>
      <c r="J252" t="s">
        <v>272</v>
      </c>
    </row>
    <row r="253" spans="1:10" x14ac:dyDescent="0.25">
      <c r="A253" t="s">
        <v>212</v>
      </c>
      <c r="B253" s="1">
        <v>46183</v>
      </c>
      <c r="C253" t="s">
        <v>8</v>
      </c>
      <c r="D253" t="s">
        <v>237</v>
      </c>
      <c r="E253" t="s">
        <v>297</v>
      </c>
      <c r="F253" s="23">
        <v>103</v>
      </c>
      <c r="G253" s="23"/>
      <c r="H253" s="1">
        <v>46225</v>
      </c>
      <c r="I253" t="s">
        <v>893</v>
      </c>
      <c r="J253" t="s">
        <v>298</v>
      </c>
    </row>
    <row r="254" spans="1:10" x14ac:dyDescent="0.25">
      <c r="A254" t="s">
        <v>159</v>
      </c>
      <c r="B254" s="1">
        <v>46178</v>
      </c>
      <c r="C254" t="s">
        <v>8</v>
      </c>
      <c r="D254" t="s">
        <v>237</v>
      </c>
      <c r="E254" t="s">
        <v>327</v>
      </c>
      <c r="F254" s="23">
        <v>43</v>
      </c>
      <c r="G254" s="23"/>
      <c r="H254" s="1">
        <v>46227</v>
      </c>
      <c r="I254" t="s">
        <v>893</v>
      </c>
      <c r="J254" t="s">
        <v>328</v>
      </c>
    </row>
    <row r="255" spans="1:10" x14ac:dyDescent="0.25">
      <c r="A255" t="s">
        <v>233</v>
      </c>
      <c r="B255" s="1">
        <v>46233</v>
      </c>
      <c r="C255" t="s">
        <v>8</v>
      </c>
      <c r="D255" t="s">
        <v>237</v>
      </c>
      <c r="E255" t="s">
        <v>329</v>
      </c>
      <c r="F255" s="23">
        <v>40</v>
      </c>
      <c r="G255" s="23"/>
      <c r="H255" s="1">
        <v>46227</v>
      </c>
      <c r="I255" t="s">
        <v>893</v>
      </c>
      <c r="J255" t="s">
        <v>330</v>
      </c>
    </row>
    <row r="256" spans="1:10" x14ac:dyDescent="0.25">
      <c r="A256" t="s">
        <v>290</v>
      </c>
      <c r="B256" s="1">
        <v>46181</v>
      </c>
      <c r="C256" t="s">
        <v>8</v>
      </c>
      <c r="D256" t="s">
        <v>237</v>
      </c>
      <c r="E256" t="s">
        <v>359</v>
      </c>
      <c r="F256" s="23">
        <v>69</v>
      </c>
      <c r="G256" s="23"/>
      <c r="H256" s="1">
        <v>46232</v>
      </c>
      <c r="I256" t="s">
        <v>893</v>
      </c>
      <c r="J256" t="s">
        <v>360</v>
      </c>
    </row>
    <row r="257" spans="1:10" x14ac:dyDescent="0.25">
      <c r="A257" t="s">
        <v>309</v>
      </c>
      <c r="B257" s="1">
        <v>46218</v>
      </c>
      <c r="C257" t="s">
        <v>8</v>
      </c>
      <c r="D257" t="s">
        <v>237</v>
      </c>
      <c r="E257" t="s">
        <v>401</v>
      </c>
      <c r="F257" s="23">
        <v>40</v>
      </c>
      <c r="G257" s="23"/>
      <c r="H257" s="1">
        <v>46234</v>
      </c>
      <c r="I257" t="s">
        <v>893</v>
      </c>
      <c r="J257" t="s">
        <v>402</v>
      </c>
    </row>
    <row r="258" spans="1:10" x14ac:dyDescent="0.25">
      <c r="A258" t="s">
        <v>462</v>
      </c>
      <c r="B258" s="1">
        <v>46203</v>
      </c>
      <c r="C258" t="s">
        <v>8</v>
      </c>
      <c r="D258" t="s">
        <v>237</v>
      </c>
      <c r="E258" t="s">
        <v>463</v>
      </c>
      <c r="F258" s="23">
        <v>16</v>
      </c>
      <c r="G258" s="23"/>
      <c r="H258" s="1">
        <v>46239</v>
      </c>
      <c r="I258" t="s">
        <v>893</v>
      </c>
      <c r="J258" t="s">
        <v>464</v>
      </c>
    </row>
    <row r="259" spans="1:10" x14ac:dyDescent="0.25">
      <c r="A259" t="s">
        <v>180</v>
      </c>
      <c r="B259" s="1">
        <v>46224</v>
      </c>
      <c r="C259" t="s">
        <v>8</v>
      </c>
      <c r="D259" t="s">
        <v>237</v>
      </c>
      <c r="E259" t="s">
        <v>512</v>
      </c>
      <c r="F259" s="23">
        <v>50</v>
      </c>
      <c r="G259" s="23"/>
      <c r="H259" s="1">
        <v>46241</v>
      </c>
      <c r="I259" t="s">
        <v>893</v>
      </c>
      <c r="J259" t="s">
        <v>513</v>
      </c>
    </row>
    <row r="260" spans="1:10" x14ac:dyDescent="0.25">
      <c r="A260" t="s">
        <v>180</v>
      </c>
      <c r="B260" s="1">
        <v>46241</v>
      </c>
      <c r="C260" t="s">
        <v>8</v>
      </c>
      <c r="D260" t="s">
        <v>237</v>
      </c>
      <c r="E260" t="s">
        <v>514</v>
      </c>
      <c r="F260" s="23">
        <v>25</v>
      </c>
      <c r="G260" s="23"/>
      <c r="H260" s="1">
        <v>46241</v>
      </c>
      <c r="I260" t="s">
        <v>893</v>
      </c>
      <c r="J260" t="s">
        <v>515</v>
      </c>
    </row>
    <row r="261" spans="1:10" x14ac:dyDescent="0.25">
      <c r="A261" t="s">
        <v>287</v>
      </c>
      <c r="B261" s="1">
        <v>46237</v>
      </c>
      <c r="C261" t="s">
        <v>8</v>
      </c>
      <c r="D261" t="s">
        <v>237</v>
      </c>
      <c r="E261" t="s">
        <v>546</v>
      </c>
      <c r="F261" s="23">
        <v>20</v>
      </c>
      <c r="G261" s="23"/>
      <c r="H261" s="1">
        <v>46248</v>
      </c>
      <c r="I261" t="s">
        <v>893</v>
      </c>
      <c r="J261" t="s">
        <v>547</v>
      </c>
    </row>
    <row r="262" spans="1:10" x14ac:dyDescent="0.25">
      <c r="A262" t="s">
        <v>287</v>
      </c>
      <c r="B262" s="1">
        <v>46237</v>
      </c>
      <c r="C262" t="s">
        <v>8</v>
      </c>
      <c r="D262" t="s">
        <v>237</v>
      </c>
      <c r="E262" t="s">
        <v>592</v>
      </c>
      <c r="F262" s="23">
        <v>20</v>
      </c>
      <c r="G262" s="23"/>
      <c r="H262" s="1">
        <v>46255</v>
      </c>
      <c r="I262" t="s">
        <v>893</v>
      </c>
      <c r="J262" t="s">
        <v>593</v>
      </c>
    </row>
    <row r="263" spans="1:10" x14ac:dyDescent="0.25">
      <c r="A263" t="s">
        <v>446</v>
      </c>
      <c r="B263" s="1">
        <v>46238</v>
      </c>
      <c r="C263" t="s">
        <v>8</v>
      </c>
      <c r="D263" t="s">
        <v>237</v>
      </c>
      <c r="E263" t="s">
        <v>594</v>
      </c>
      <c r="F263" s="23">
        <v>78</v>
      </c>
      <c r="G263" s="23"/>
      <c r="H263" s="1">
        <v>46255</v>
      </c>
      <c r="I263" t="s">
        <v>893</v>
      </c>
      <c r="J263" t="s">
        <v>595</v>
      </c>
    </row>
    <row r="264" spans="1:10" x14ac:dyDescent="0.25">
      <c r="A264" t="s">
        <v>467</v>
      </c>
      <c r="B264" s="1">
        <v>46241</v>
      </c>
      <c r="C264" t="s">
        <v>8</v>
      </c>
      <c r="D264" t="s">
        <v>237</v>
      </c>
      <c r="E264" t="s">
        <v>671</v>
      </c>
      <c r="F264" s="23">
        <v>16</v>
      </c>
      <c r="G264" s="23"/>
      <c r="H264" s="1">
        <v>46274</v>
      </c>
      <c r="I264" t="s">
        <v>893</v>
      </c>
      <c r="J264" t="s">
        <v>672</v>
      </c>
    </row>
    <row r="265" spans="1:10" x14ac:dyDescent="0.25">
      <c r="A265" t="s">
        <v>467</v>
      </c>
      <c r="B265" s="1">
        <v>46241</v>
      </c>
      <c r="C265" t="s">
        <v>8</v>
      </c>
      <c r="D265" t="s">
        <v>237</v>
      </c>
      <c r="E265" t="s">
        <v>673</v>
      </c>
      <c r="F265" s="23">
        <v>20</v>
      </c>
      <c r="G265" s="23"/>
      <c r="H265" s="1">
        <v>46274</v>
      </c>
      <c r="I265" t="s">
        <v>893</v>
      </c>
      <c r="J265" t="s">
        <v>674</v>
      </c>
    </row>
    <row r="266" spans="1:10" x14ac:dyDescent="0.25">
      <c r="A266" t="s">
        <v>366</v>
      </c>
      <c r="B266" s="1">
        <v>46244</v>
      </c>
      <c r="C266" t="s">
        <v>8</v>
      </c>
      <c r="D266" t="s">
        <v>675</v>
      </c>
      <c r="E266" t="s">
        <v>709</v>
      </c>
      <c r="F266" s="23">
        <v>6</v>
      </c>
      <c r="G266" s="23"/>
      <c r="H266" s="1">
        <v>46246</v>
      </c>
      <c r="I266" t="s">
        <v>893</v>
      </c>
      <c r="J266" t="s">
        <v>710</v>
      </c>
    </row>
    <row r="267" spans="1:10" x14ac:dyDescent="0.25">
      <c r="A267" t="s">
        <v>467</v>
      </c>
      <c r="B267" s="1">
        <v>46241</v>
      </c>
      <c r="C267" t="s">
        <v>8</v>
      </c>
      <c r="D267" t="s">
        <v>675</v>
      </c>
      <c r="E267" t="s">
        <v>676</v>
      </c>
      <c r="F267" s="23">
        <v>4</v>
      </c>
      <c r="G267" s="23"/>
      <c r="H267" s="1">
        <v>46274</v>
      </c>
      <c r="I267" t="s">
        <v>893</v>
      </c>
      <c r="J267" t="s">
        <v>677</v>
      </c>
    </row>
    <row r="268" spans="1:10" x14ac:dyDescent="0.25">
      <c r="A268" t="s">
        <v>467</v>
      </c>
      <c r="B268" s="1">
        <v>46241</v>
      </c>
      <c r="C268" t="s">
        <v>8</v>
      </c>
      <c r="D268" t="s">
        <v>675</v>
      </c>
      <c r="E268" t="s">
        <v>678</v>
      </c>
      <c r="F268" s="23">
        <v>24</v>
      </c>
      <c r="G268" s="23"/>
      <c r="H268" s="1">
        <v>46274</v>
      </c>
      <c r="I268" t="s">
        <v>893</v>
      </c>
      <c r="J268" t="s">
        <v>679</v>
      </c>
    </row>
    <row r="269" spans="1:10" x14ac:dyDescent="0.25">
      <c r="A269" t="s">
        <v>467</v>
      </c>
      <c r="B269" s="1">
        <v>46241</v>
      </c>
      <c r="C269" t="s">
        <v>8</v>
      </c>
      <c r="D269" t="s">
        <v>675</v>
      </c>
      <c r="E269" t="s">
        <v>689</v>
      </c>
      <c r="F269" s="23">
        <v>4</v>
      </c>
      <c r="G269" s="23"/>
      <c r="H269" s="1">
        <v>46281</v>
      </c>
      <c r="I269" t="s">
        <v>893</v>
      </c>
      <c r="J269" t="s">
        <v>690</v>
      </c>
    </row>
    <row r="270" spans="1:10" x14ac:dyDescent="0.25">
      <c r="A270" t="s">
        <v>204</v>
      </c>
      <c r="B270" s="1">
        <v>46245</v>
      </c>
      <c r="C270" t="s">
        <v>8</v>
      </c>
      <c r="D270" t="s">
        <v>228</v>
      </c>
      <c r="E270" t="s">
        <v>785</v>
      </c>
      <c r="F270" s="23">
        <v>135</v>
      </c>
      <c r="G270" s="23"/>
      <c r="H270" s="1">
        <v>46214</v>
      </c>
      <c r="I270" t="s">
        <v>893</v>
      </c>
      <c r="J270" t="s">
        <v>786</v>
      </c>
    </row>
    <row r="271" spans="1:10" x14ac:dyDescent="0.25">
      <c r="A271" t="s">
        <v>180</v>
      </c>
      <c r="B271" s="1">
        <v>46241</v>
      </c>
      <c r="C271" t="s">
        <v>8</v>
      </c>
      <c r="D271" t="s">
        <v>228</v>
      </c>
      <c r="E271" t="s">
        <v>516</v>
      </c>
      <c r="F271" s="23">
        <v>130</v>
      </c>
      <c r="G271" s="23"/>
      <c r="H271" s="1">
        <v>46241</v>
      </c>
      <c r="I271" t="s">
        <v>893</v>
      </c>
      <c r="J271" t="s">
        <v>517</v>
      </c>
    </row>
    <row r="272" spans="1:10" x14ac:dyDescent="0.25">
      <c r="A272" t="s">
        <v>446</v>
      </c>
      <c r="B272" s="1">
        <v>46238</v>
      </c>
      <c r="C272" t="s">
        <v>8</v>
      </c>
      <c r="D272" t="s">
        <v>228</v>
      </c>
      <c r="E272" t="s">
        <v>596</v>
      </c>
      <c r="F272" s="23">
        <v>90</v>
      </c>
      <c r="G272" s="23"/>
      <c r="H272" s="1">
        <v>46255</v>
      </c>
      <c r="I272" t="s">
        <v>893</v>
      </c>
      <c r="J272" t="s">
        <v>597</v>
      </c>
    </row>
    <row r="273" spans="1:10" x14ac:dyDescent="0.25">
      <c r="A273" t="s">
        <v>348</v>
      </c>
      <c r="B273" s="1">
        <v>46113</v>
      </c>
      <c r="C273" t="s">
        <v>8</v>
      </c>
      <c r="D273" t="s">
        <v>625</v>
      </c>
      <c r="E273" t="s">
        <v>626</v>
      </c>
      <c r="F273" s="23">
        <v>954</v>
      </c>
      <c r="G273" s="23"/>
      <c r="H273" s="1">
        <v>46269</v>
      </c>
      <c r="I273" t="s">
        <v>893</v>
      </c>
      <c r="J273" t="s">
        <v>627</v>
      </c>
    </row>
    <row r="274" spans="1:10" x14ac:dyDescent="0.25">
      <c r="B274" s="1"/>
      <c r="H274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9886-DA7D-4712-B4C5-B986C2C4711D}">
  <dimension ref="A1:J270"/>
  <sheetViews>
    <sheetView showGridLines="0" tabSelected="1" topLeftCell="A31" workbookViewId="0">
      <selection activeCell="A20" sqref="A20"/>
    </sheetView>
  </sheetViews>
  <sheetFormatPr baseColWidth="10" defaultRowHeight="15" x14ac:dyDescent="0.25"/>
  <cols>
    <col min="4" max="4" width="59.140625" bestFit="1" customWidth="1"/>
    <col min="10" max="10" width="88.7109375" customWidth="1"/>
  </cols>
  <sheetData>
    <row r="1" spans="1:10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11</v>
      </c>
      <c r="G1" t="s">
        <v>739</v>
      </c>
      <c r="H1" t="s">
        <v>4</v>
      </c>
      <c r="I1" t="s">
        <v>403</v>
      </c>
      <c r="J1" t="s">
        <v>5</v>
      </c>
    </row>
    <row r="2" spans="1:10" hidden="1" x14ac:dyDescent="0.25">
      <c r="A2" t="s">
        <v>366</v>
      </c>
      <c r="B2" s="1">
        <v>46234</v>
      </c>
      <c r="C2" t="s">
        <v>43</v>
      </c>
      <c r="D2" t="s">
        <v>371</v>
      </c>
      <c r="E2" t="s">
        <v>372</v>
      </c>
      <c r="F2" s="23">
        <v>1510.4</v>
      </c>
      <c r="G2" s="23"/>
      <c r="H2" s="1">
        <v>46234</v>
      </c>
      <c r="I2" t="s">
        <v>697</v>
      </c>
      <c r="J2" t="s">
        <v>373</v>
      </c>
    </row>
    <row r="3" spans="1:10" x14ac:dyDescent="0.25">
      <c r="A3" t="s">
        <v>198</v>
      </c>
      <c r="B3" s="1">
        <v>46184</v>
      </c>
      <c r="C3" t="s">
        <v>43</v>
      </c>
      <c r="D3" t="s">
        <v>793</v>
      </c>
      <c r="E3" t="s">
        <v>199</v>
      </c>
      <c r="F3" s="23">
        <v>28.32</v>
      </c>
      <c r="G3" s="23"/>
      <c r="H3" s="1">
        <v>46211</v>
      </c>
      <c r="I3" t="s">
        <v>837</v>
      </c>
      <c r="J3" t="s">
        <v>200</v>
      </c>
    </row>
    <row r="4" spans="1:10" hidden="1" x14ac:dyDescent="0.25">
      <c r="A4" t="s">
        <v>180</v>
      </c>
      <c r="B4" s="1">
        <v>46238</v>
      </c>
      <c r="C4" t="s">
        <v>43</v>
      </c>
      <c r="D4" t="s">
        <v>430</v>
      </c>
      <c r="E4" t="s">
        <v>431</v>
      </c>
      <c r="F4" s="23"/>
      <c r="G4" s="23">
        <v>20</v>
      </c>
      <c r="H4" s="1">
        <v>46238</v>
      </c>
      <c r="I4" t="s">
        <v>697</v>
      </c>
      <c r="J4" t="s">
        <v>432</v>
      </c>
    </row>
    <row r="5" spans="1:10" x14ac:dyDescent="0.25">
      <c r="A5" t="s">
        <v>159</v>
      </c>
      <c r="B5" s="1">
        <v>46178</v>
      </c>
      <c r="C5" t="s">
        <v>43</v>
      </c>
      <c r="D5" t="s">
        <v>201</v>
      </c>
      <c r="E5" t="s">
        <v>202</v>
      </c>
      <c r="F5" s="23">
        <v>657.68</v>
      </c>
      <c r="G5" s="23"/>
      <c r="H5" s="1">
        <v>46211</v>
      </c>
      <c r="I5" t="s">
        <v>736</v>
      </c>
      <c r="J5" t="s">
        <v>203</v>
      </c>
    </row>
    <row r="6" spans="1:10" hidden="1" x14ac:dyDescent="0.25">
      <c r="A6" t="s">
        <v>467</v>
      </c>
      <c r="B6" s="1">
        <v>46241</v>
      </c>
      <c r="C6" t="s">
        <v>43</v>
      </c>
      <c r="D6" t="s">
        <v>153</v>
      </c>
      <c r="E6" t="s">
        <v>557</v>
      </c>
      <c r="F6" s="23"/>
      <c r="G6" s="23">
        <v>1260</v>
      </c>
      <c r="H6" s="1">
        <v>46253</v>
      </c>
      <c r="I6" t="s">
        <v>737</v>
      </c>
      <c r="J6" t="s">
        <v>558</v>
      </c>
    </row>
    <row r="7" spans="1:10" x14ac:dyDescent="0.25">
      <c r="A7" t="s">
        <v>204</v>
      </c>
      <c r="B7" s="1">
        <v>46211</v>
      </c>
      <c r="C7" t="s">
        <v>43</v>
      </c>
      <c r="D7" t="s">
        <v>205</v>
      </c>
      <c r="E7" t="s">
        <v>206</v>
      </c>
      <c r="F7" s="23">
        <v>60</v>
      </c>
      <c r="G7" s="23"/>
      <c r="H7" s="1">
        <v>46211</v>
      </c>
      <c r="J7" t="s">
        <v>207</v>
      </c>
    </row>
    <row r="8" spans="1:10" x14ac:dyDescent="0.25">
      <c r="A8" t="s">
        <v>184</v>
      </c>
      <c r="B8" s="1">
        <v>46163</v>
      </c>
      <c r="C8" t="s">
        <v>43</v>
      </c>
      <c r="D8" t="s">
        <v>793</v>
      </c>
      <c r="E8" t="s">
        <v>210</v>
      </c>
      <c r="F8" s="23">
        <v>66.08</v>
      </c>
      <c r="G8" s="23"/>
      <c r="H8" s="1">
        <v>46213</v>
      </c>
      <c r="J8" t="s">
        <v>211</v>
      </c>
    </row>
    <row r="9" spans="1:10" x14ac:dyDescent="0.25">
      <c r="A9" t="s">
        <v>212</v>
      </c>
      <c r="B9" s="1">
        <v>46204</v>
      </c>
      <c r="C9" t="s">
        <v>43</v>
      </c>
      <c r="D9" t="s">
        <v>201</v>
      </c>
      <c r="E9" t="s">
        <v>213</v>
      </c>
      <c r="F9" s="23">
        <v>467.56</v>
      </c>
      <c r="G9" s="23"/>
      <c r="H9" s="1">
        <v>46213</v>
      </c>
      <c r="J9" t="s">
        <v>214</v>
      </c>
    </row>
    <row r="10" spans="1:10" hidden="1" x14ac:dyDescent="0.25">
      <c r="A10" t="s">
        <v>366</v>
      </c>
      <c r="B10" s="1">
        <v>46233</v>
      </c>
      <c r="C10" t="s">
        <v>43</v>
      </c>
      <c r="D10" t="s">
        <v>374</v>
      </c>
      <c r="E10" t="s">
        <v>375</v>
      </c>
      <c r="F10" s="23"/>
      <c r="G10" s="23">
        <v>200</v>
      </c>
      <c r="H10" s="1">
        <v>46234</v>
      </c>
      <c r="I10" t="s">
        <v>697</v>
      </c>
      <c r="J10" t="s">
        <v>376</v>
      </c>
    </row>
    <row r="11" spans="1:10" hidden="1" x14ac:dyDescent="0.25">
      <c r="A11" t="s">
        <v>184</v>
      </c>
      <c r="B11" s="1">
        <v>46176</v>
      </c>
      <c r="C11" t="s">
        <v>43</v>
      </c>
      <c r="D11" t="s">
        <v>44</v>
      </c>
      <c r="E11" t="s">
        <v>185</v>
      </c>
      <c r="F11" s="23">
        <v>65</v>
      </c>
      <c r="G11" s="23"/>
      <c r="H11" s="1">
        <v>46204</v>
      </c>
      <c r="I11" t="s">
        <v>697</v>
      </c>
      <c r="J11" t="s">
        <v>186</v>
      </c>
    </row>
    <row r="12" spans="1:10" x14ac:dyDescent="0.25">
      <c r="A12" t="s">
        <v>204</v>
      </c>
      <c r="B12" s="1">
        <v>46219</v>
      </c>
      <c r="C12" t="s">
        <v>43</v>
      </c>
      <c r="D12" t="s">
        <v>240</v>
      </c>
      <c r="E12" t="s">
        <v>241</v>
      </c>
      <c r="F12" s="23"/>
      <c r="G12" s="23">
        <v>528.5</v>
      </c>
      <c r="H12" s="1">
        <v>46220</v>
      </c>
      <c r="J12" t="s">
        <v>242</v>
      </c>
    </row>
    <row r="13" spans="1:10" x14ac:dyDescent="0.25">
      <c r="A13" t="s">
        <v>184</v>
      </c>
      <c r="B13" s="1">
        <v>46216</v>
      </c>
      <c r="C13" t="s">
        <v>43</v>
      </c>
      <c r="D13" t="s">
        <v>237</v>
      </c>
      <c r="E13" t="s">
        <v>243</v>
      </c>
      <c r="F13" s="23">
        <v>112</v>
      </c>
      <c r="G13" s="23"/>
      <c r="H13" s="1">
        <v>46220</v>
      </c>
      <c r="I13" t="s">
        <v>844</v>
      </c>
      <c r="J13" t="s">
        <v>244</v>
      </c>
    </row>
    <row r="14" spans="1:10" x14ac:dyDescent="0.25">
      <c r="A14" t="s">
        <v>198</v>
      </c>
      <c r="B14" s="1">
        <v>46184</v>
      </c>
      <c r="C14" t="s">
        <v>43</v>
      </c>
      <c r="D14" t="s">
        <v>17</v>
      </c>
      <c r="E14" t="s">
        <v>281</v>
      </c>
      <c r="F14" s="23">
        <v>115.64</v>
      </c>
      <c r="G14" s="23"/>
      <c r="H14" s="1">
        <v>46222</v>
      </c>
      <c r="I14" t="s">
        <v>874</v>
      </c>
      <c r="J14" t="s">
        <v>282</v>
      </c>
    </row>
    <row r="15" spans="1:10" x14ac:dyDescent="0.25">
      <c r="A15" t="s">
        <v>287</v>
      </c>
      <c r="B15" s="1">
        <v>46227</v>
      </c>
      <c r="C15" t="s">
        <v>43</v>
      </c>
      <c r="D15" t="s">
        <v>17</v>
      </c>
      <c r="E15" t="s">
        <v>288</v>
      </c>
      <c r="F15" s="23">
        <v>417.72</v>
      </c>
      <c r="G15" s="23"/>
      <c r="H15" s="1">
        <v>46225</v>
      </c>
      <c r="J15" t="s">
        <v>289</v>
      </c>
    </row>
    <row r="16" spans="1:10" x14ac:dyDescent="0.25">
      <c r="A16" t="s">
        <v>287</v>
      </c>
      <c r="B16" s="1">
        <v>46227</v>
      </c>
      <c r="C16" t="s">
        <v>43</v>
      </c>
      <c r="D16" t="s">
        <v>17</v>
      </c>
      <c r="E16" t="s">
        <v>355</v>
      </c>
      <c r="F16" s="23">
        <v>417.72</v>
      </c>
      <c r="G16" s="23"/>
      <c r="H16" s="1">
        <v>46232</v>
      </c>
      <c r="J16" t="s">
        <v>289</v>
      </c>
    </row>
    <row r="17" spans="1:10" x14ac:dyDescent="0.25">
      <c r="A17" t="s">
        <v>366</v>
      </c>
      <c r="B17" s="1">
        <v>46209</v>
      </c>
      <c r="C17" t="s">
        <v>43</v>
      </c>
      <c r="D17" t="s">
        <v>17</v>
      </c>
      <c r="E17" t="s">
        <v>367</v>
      </c>
      <c r="F17" s="23">
        <v>86.14</v>
      </c>
      <c r="G17" s="23"/>
      <c r="H17" s="1">
        <v>46233</v>
      </c>
      <c r="I17" t="s">
        <v>873</v>
      </c>
      <c r="J17" t="s">
        <v>368</v>
      </c>
    </row>
    <row r="18" spans="1:10" x14ac:dyDescent="0.25">
      <c r="A18" t="s">
        <v>159</v>
      </c>
      <c r="B18" s="1">
        <v>46178</v>
      </c>
      <c r="C18" t="s">
        <v>43</v>
      </c>
      <c r="D18" t="s">
        <v>9</v>
      </c>
      <c r="E18" t="s">
        <v>410</v>
      </c>
      <c r="F18" s="23">
        <v>227.5</v>
      </c>
      <c r="G18" s="23"/>
      <c r="H18" s="1">
        <v>46236</v>
      </c>
      <c r="I18" t="s">
        <v>789</v>
      </c>
      <c r="J18" t="s">
        <v>411</v>
      </c>
    </row>
    <row r="19" spans="1:10" x14ac:dyDescent="0.25">
      <c r="A19" t="s">
        <v>198</v>
      </c>
      <c r="B19" s="1">
        <v>46184</v>
      </c>
      <c r="C19" t="s">
        <v>43</v>
      </c>
      <c r="D19" t="s">
        <v>793</v>
      </c>
      <c r="E19" t="s">
        <v>414</v>
      </c>
      <c r="F19" s="23">
        <v>66.08</v>
      </c>
      <c r="G19" s="23"/>
      <c r="H19" s="1">
        <v>46237</v>
      </c>
      <c r="I19" t="s">
        <v>837</v>
      </c>
      <c r="J19" t="s">
        <v>200</v>
      </c>
    </row>
    <row r="20" spans="1:10" x14ac:dyDescent="0.25">
      <c r="A20" s="2" t="s">
        <v>348</v>
      </c>
      <c r="B20" s="3">
        <v>46203</v>
      </c>
      <c r="C20" s="2" t="s">
        <v>43</v>
      </c>
      <c r="D20" s="2" t="s">
        <v>273</v>
      </c>
      <c r="E20" s="2" t="s">
        <v>415</v>
      </c>
      <c r="F20" s="24">
        <v>448.8</v>
      </c>
      <c r="G20" s="24"/>
      <c r="H20" s="3">
        <v>46237</v>
      </c>
      <c r="I20" s="2" t="s">
        <v>965</v>
      </c>
      <c r="J20" s="2" t="s">
        <v>416</v>
      </c>
    </row>
    <row r="21" spans="1:10" x14ac:dyDescent="0.25">
      <c r="A21" t="s">
        <v>287</v>
      </c>
      <c r="B21" s="1">
        <v>46230</v>
      </c>
      <c r="C21" t="s">
        <v>43</v>
      </c>
      <c r="D21" t="s">
        <v>451</v>
      </c>
      <c r="E21" t="s">
        <v>452</v>
      </c>
      <c r="F21" s="23">
        <v>332.76</v>
      </c>
      <c r="G21" s="23"/>
      <c r="H21" s="1">
        <v>46239</v>
      </c>
      <c r="I21" t="s">
        <v>791</v>
      </c>
      <c r="J21" t="s">
        <v>453</v>
      </c>
    </row>
    <row r="22" spans="1:10" x14ac:dyDescent="0.25">
      <c r="A22" t="s">
        <v>446</v>
      </c>
      <c r="B22" s="1">
        <v>46238</v>
      </c>
      <c r="C22" t="s">
        <v>43</v>
      </c>
      <c r="D22" t="s">
        <v>266</v>
      </c>
      <c r="E22" t="s">
        <v>456</v>
      </c>
      <c r="F22" s="23">
        <v>365.9</v>
      </c>
      <c r="G22" s="23"/>
      <c r="H22" s="1">
        <v>46239</v>
      </c>
      <c r="I22" t="s">
        <v>698</v>
      </c>
      <c r="J22" t="s">
        <v>457</v>
      </c>
    </row>
    <row r="23" spans="1:10" hidden="1" x14ac:dyDescent="0.25">
      <c r="A23" t="s">
        <v>180</v>
      </c>
      <c r="B23" s="1">
        <v>46237</v>
      </c>
      <c r="C23" t="s">
        <v>43</v>
      </c>
      <c r="D23" t="s">
        <v>417</v>
      </c>
      <c r="E23" t="s">
        <v>418</v>
      </c>
      <c r="F23" s="23"/>
      <c r="G23" s="23">
        <v>500</v>
      </c>
      <c r="H23" s="1">
        <v>46237</v>
      </c>
      <c r="I23" t="s">
        <v>697</v>
      </c>
      <c r="J23" t="s">
        <v>419</v>
      </c>
    </row>
    <row r="24" spans="1:10" hidden="1" x14ac:dyDescent="0.25">
      <c r="A24" t="s">
        <v>180</v>
      </c>
      <c r="B24" s="1">
        <v>46237</v>
      </c>
      <c r="C24" t="s">
        <v>43</v>
      </c>
      <c r="D24" t="s">
        <v>417</v>
      </c>
      <c r="E24" t="s">
        <v>420</v>
      </c>
      <c r="F24" s="23"/>
      <c r="G24" s="23">
        <v>500</v>
      </c>
      <c r="H24" s="1">
        <v>46237</v>
      </c>
      <c r="I24" t="s">
        <v>697</v>
      </c>
      <c r="J24" t="s">
        <v>419</v>
      </c>
    </row>
    <row r="25" spans="1:10" hidden="1" x14ac:dyDescent="0.25">
      <c r="A25" t="s">
        <v>180</v>
      </c>
      <c r="B25" s="1">
        <v>46237</v>
      </c>
      <c r="C25" t="s">
        <v>43</v>
      </c>
      <c r="D25" t="s">
        <v>417</v>
      </c>
      <c r="E25" t="s">
        <v>421</v>
      </c>
      <c r="F25" s="23"/>
      <c r="G25" s="23">
        <v>605.9</v>
      </c>
      <c r="H25" s="1">
        <v>46237</v>
      </c>
      <c r="I25" t="s">
        <v>697</v>
      </c>
      <c r="J25" t="s">
        <v>422</v>
      </c>
    </row>
    <row r="26" spans="1:10" hidden="1" x14ac:dyDescent="0.25">
      <c r="A26" t="s">
        <v>180</v>
      </c>
      <c r="B26" s="1">
        <v>46237</v>
      </c>
      <c r="C26" t="s">
        <v>43</v>
      </c>
      <c r="D26" t="s">
        <v>417</v>
      </c>
      <c r="E26" t="s">
        <v>423</v>
      </c>
      <c r="F26" s="23"/>
      <c r="G26" s="23">
        <v>605.89</v>
      </c>
      <c r="H26" s="1">
        <v>46237</v>
      </c>
      <c r="I26" t="s">
        <v>697</v>
      </c>
      <c r="J26" t="s">
        <v>422</v>
      </c>
    </row>
    <row r="27" spans="1:10" x14ac:dyDescent="0.25">
      <c r="A27" t="s">
        <v>467</v>
      </c>
      <c r="B27" s="1">
        <v>46127</v>
      </c>
      <c r="C27" t="s">
        <v>43</v>
      </c>
      <c r="D27" t="s">
        <v>793</v>
      </c>
      <c r="E27" t="s">
        <v>468</v>
      </c>
      <c r="F27" s="23">
        <v>3382.47</v>
      </c>
      <c r="G27" s="23"/>
      <c r="H27" s="1">
        <v>46241</v>
      </c>
      <c r="I27" t="s">
        <v>699</v>
      </c>
      <c r="J27" t="s">
        <v>469</v>
      </c>
    </row>
    <row r="28" spans="1:10" x14ac:dyDescent="0.25">
      <c r="A28" s="2" t="s">
        <v>467</v>
      </c>
      <c r="B28" s="3">
        <v>46127</v>
      </c>
      <c r="C28" s="2" t="s">
        <v>43</v>
      </c>
      <c r="D28" s="2" t="s">
        <v>377</v>
      </c>
      <c r="E28" s="2" t="s">
        <v>470</v>
      </c>
      <c r="F28" s="24"/>
      <c r="G28" s="24">
        <v>4830</v>
      </c>
      <c r="H28" s="3">
        <v>46241</v>
      </c>
      <c r="I28" s="2" t="s">
        <v>965</v>
      </c>
      <c r="J28" s="2" t="s">
        <v>471</v>
      </c>
    </row>
    <row r="29" spans="1:10" x14ac:dyDescent="0.25">
      <c r="A29" s="2" t="s">
        <v>467</v>
      </c>
      <c r="B29" s="3">
        <v>46241</v>
      </c>
      <c r="C29" s="2" t="s">
        <v>43</v>
      </c>
      <c r="D29" s="2" t="s">
        <v>205</v>
      </c>
      <c r="E29" s="2" t="s">
        <v>518</v>
      </c>
      <c r="F29" s="24">
        <v>210</v>
      </c>
      <c r="G29" s="24"/>
      <c r="H29" s="3">
        <v>46244</v>
      </c>
      <c r="I29" s="2" t="s">
        <v>965</v>
      </c>
      <c r="J29" s="2" t="s">
        <v>519</v>
      </c>
    </row>
    <row r="30" spans="1:10" x14ac:dyDescent="0.25">
      <c r="A30" t="s">
        <v>467</v>
      </c>
      <c r="B30" s="1">
        <v>46241</v>
      </c>
      <c r="C30" t="s">
        <v>43</v>
      </c>
      <c r="D30" t="s">
        <v>17</v>
      </c>
      <c r="E30" t="s">
        <v>520</v>
      </c>
      <c r="F30" s="23">
        <v>120.95</v>
      </c>
      <c r="G30" s="23"/>
      <c r="H30" s="1">
        <v>46244</v>
      </c>
      <c r="J30" t="s">
        <v>521</v>
      </c>
    </row>
    <row r="31" spans="1:10" x14ac:dyDescent="0.25">
      <c r="A31" t="s">
        <v>348</v>
      </c>
      <c r="B31" s="1">
        <v>46227</v>
      </c>
      <c r="C31" t="s">
        <v>43</v>
      </c>
      <c r="D31" t="s">
        <v>201</v>
      </c>
      <c r="E31" t="s">
        <v>527</v>
      </c>
      <c r="F31" s="23">
        <v>387.23</v>
      </c>
      <c r="G31" s="23"/>
      <c r="H31" s="1">
        <v>46246</v>
      </c>
      <c r="I31" t="s">
        <v>789</v>
      </c>
      <c r="J31" t="s">
        <v>528</v>
      </c>
    </row>
    <row r="32" spans="1:10" x14ac:dyDescent="0.25">
      <c r="A32" s="2" t="s">
        <v>924</v>
      </c>
      <c r="B32" s="3">
        <v>46246</v>
      </c>
      <c r="C32" s="2" t="s">
        <v>43</v>
      </c>
      <c r="D32" s="2" t="s">
        <v>931</v>
      </c>
      <c r="E32" s="2" t="s">
        <v>932</v>
      </c>
      <c r="F32" s="24"/>
      <c r="G32" s="24">
        <v>1449.01</v>
      </c>
      <c r="H32" s="3">
        <v>46246</v>
      </c>
      <c r="I32" s="2" t="s">
        <v>965</v>
      </c>
      <c r="J32" s="2" t="s">
        <v>933</v>
      </c>
    </row>
    <row r="33" spans="1:10" hidden="1" x14ac:dyDescent="0.25">
      <c r="A33" t="s">
        <v>180</v>
      </c>
      <c r="B33" s="1">
        <v>46233</v>
      </c>
      <c r="C33" t="s">
        <v>43</v>
      </c>
      <c r="D33" t="s">
        <v>361</v>
      </c>
      <c r="E33" t="s">
        <v>362</v>
      </c>
      <c r="F33" s="23"/>
      <c r="G33" s="23">
        <v>651</v>
      </c>
      <c r="H33" s="1">
        <v>46233</v>
      </c>
      <c r="I33" t="s">
        <v>697</v>
      </c>
      <c r="J33" t="s">
        <v>363</v>
      </c>
    </row>
    <row r="34" spans="1:10" hidden="1" x14ac:dyDescent="0.25">
      <c r="A34" t="s">
        <v>180</v>
      </c>
      <c r="B34" s="1">
        <v>46233</v>
      </c>
      <c r="C34" t="s">
        <v>43</v>
      </c>
      <c r="D34" t="s">
        <v>361</v>
      </c>
      <c r="E34" t="s">
        <v>364</v>
      </c>
      <c r="F34" s="23">
        <v>15</v>
      </c>
      <c r="G34" s="23"/>
      <c r="H34" s="1">
        <v>46233</v>
      </c>
      <c r="I34" t="s">
        <v>697</v>
      </c>
      <c r="J34" t="s">
        <v>365</v>
      </c>
    </row>
    <row r="35" spans="1:10" x14ac:dyDescent="0.25">
      <c r="A35" s="2" t="s">
        <v>366</v>
      </c>
      <c r="B35" s="3">
        <v>46248</v>
      </c>
      <c r="C35" s="2" t="s">
        <v>43</v>
      </c>
      <c r="D35" s="2" t="s">
        <v>793</v>
      </c>
      <c r="E35" s="2" t="s">
        <v>897</v>
      </c>
      <c r="F35" s="24">
        <v>14.35</v>
      </c>
      <c r="G35" s="24"/>
      <c r="H35" s="3">
        <v>46248</v>
      </c>
      <c r="I35" s="2" t="s">
        <v>965</v>
      </c>
      <c r="J35" s="2" t="s">
        <v>898</v>
      </c>
    </row>
    <row r="36" spans="1:10" hidden="1" x14ac:dyDescent="0.25">
      <c r="A36" t="s">
        <v>366</v>
      </c>
      <c r="B36" s="1">
        <v>46237</v>
      </c>
      <c r="C36" t="s">
        <v>43</v>
      </c>
      <c r="D36" t="s">
        <v>424</v>
      </c>
      <c r="E36" t="s">
        <v>425</v>
      </c>
      <c r="F36" s="23"/>
      <c r="G36" s="23">
        <v>80</v>
      </c>
      <c r="H36" s="1">
        <v>46237</v>
      </c>
      <c r="I36" t="s">
        <v>697</v>
      </c>
      <c r="J36" t="s">
        <v>426</v>
      </c>
    </row>
    <row r="37" spans="1:10" x14ac:dyDescent="0.25">
      <c r="A37" s="2" t="s">
        <v>366</v>
      </c>
      <c r="B37" s="3">
        <v>46248</v>
      </c>
      <c r="C37" s="2" t="s">
        <v>43</v>
      </c>
      <c r="D37" s="2" t="s">
        <v>793</v>
      </c>
      <c r="E37" s="2" t="s">
        <v>899</v>
      </c>
      <c r="F37" s="24">
        <v>26.65</v>
      </c>
      <c r="G37" s="24"/>
      <c r="H37" s="3">
        <v>46248</v>
      </c>
      <c r="I37" s="2" t="s">
        <v>965</v>
      </c>
      <c r="J37" s="2" t="s">
        <v>898</v>
      </c>
    </row>
    <row r="38" spans="1:10" x14ac:dyDescent="0.25">
      <c r="A38" t="s">
        <v>554</v>
      </c>
      <c r="B38" s="1">
        <v>46248</v>
      </c>
      <c r="C38" t="s">
        <v>43</v>
      </c>
      <c r="D38" t="s">
        <v>266</v>
      </c>
      <c r="E38" t="s">
        <v>957</v>
      </c>
      <c r="F38" s="23">
        <v>664.8</v>
      </c>
      <c r="G38" s="23"/>
      <c r="H38" s="1">
        <v>46251</v>
      </c>
      <c r="J38" t="s">
        <v>958</v>
      </c>
    </row>
    <row r="39" spans="1:10" x14ac:dyDescent="0.25">
      <c r="A39" t="s">
        <v>554</v>
      </c>
      <c r="B39" s="1">
        <v>46248</v>
      </c>
      <c r="C39" t="s">
        <v>43</v>
      </c>
      <c r="D39" t="s">
        <v>266</v>
      </c>
      <c r="E39" t="s">
        <v>959</v>
      </c>
      <c r="F39" s="23">
        <v>664.8</v>
      </c>
      <c r="G39" s="23"/>
      <c r="H39" s="1">
        <v>46251</v>
      </c>
      <c r="J39" t="s">
        <v>958</v>
      </c>
    </row>
    <row r="40" spans="1:10" x14ac:dyDescent="0.25">
      <c r="A40" s="2" t="s">
        <v>949</v>
      </c>
      <c r="B40" s="3">
        <v>46251</v>
      </c>
      <c r="C40" s="2" t="s">
        <v>43</v>
      </c>
      <c r="D40" s="2" t="s">
        <v>960</v>
      </c>
      <c r="E40" s="2" t="s">
        <v>971</v>
      </c>
      <c r="F40" s="24">
        <v>108.6</v>
      </c>
      <c r="G40" s="24"/>
      <c r="H40" s="3">
        <v>46251</v>
      </c>
      <c r="I40" s="2"/>
      <c r="J40" s="2" t="s">
        <v>972</v>
      </c>
    </row>
    <row r="41" spans="1:10" x14ac:dyDescent="0.25">
      <c r="A41" s="2" t="s">
        <v>924</v>
      </c>
      <c r="B41" s="3">
        <v>46248</v>
      </c>
      <c r="C41" s="2" t="s">
        <v>43</v>
      </c>
      <c r="D41" s="2" t="s">
        <v>923</v>
      </c>
      <c r="E41" s="2" t="s">
        <v>925</v>
      </c>
      <c r="F41" s="24">
        <v>2323.13</v>
      </c>
      <c r="G41" s="24"/>
      <c r="H41" s="3">
        <v>46251</v>
      </c>
      <c r="I41" s="2" t="s">
        <v>965</v>
      </c>
      <c r="J41" s="2" t="s">
        <v>926</v>
      </c>
    </row>
    <row r="42" spans="1:10" hidden="1" x14ac:dyDescent="0.25">
      <c r="A42" t="s">
        <v>903</v>
      </c>
      <c r="B42" s="1">
        <v>46247</v>
      </c>
      <c r="C42" t="s">
        <v>43</v>
      </c>
      <c r="D42" t="s">
        <v>904</v>
      </c>
      <c r="E42" t="s">
        <v>905</v>
      </c>
      <c r="F42" s="23">
        <v>1744.52</v>
      </c>
      <c r="G42" s="23"/>
      <c r="H42" s="1">
        <v>46247</v>
      </c>
      <c r="I42" t="s">
        <v>697</v>
      </c>
      <c r="J42" t="s">
        <v>906</v>
      </c>
    </row>
    <row r="43" spans="1:10" hidden="1" x14ac:dyDescent="0.25">
      <c r="A43" t="s">
        <v>907</v>
      </c>
      <c r="B43" s="1">
        <v>46247</v>
      </c>
      <c r="C43" t="s">
        <v>43</v>
      </c>
      <c r="D43" t="s">
        <v>904</v>
      </c>
      <c r="E43" t="s">
        <v>908</v>
      </c>
      <c r="F43" s="23">
        <v>429.74</v>
      </c>
      <c r="G43" s="23"/>
      <c r="H43" s="1">
        <v>46247</v>
      </c>
      <c r="I43" t="s">
        <v>697</v>
      </c>
      <c r="J43" t="s">
        <v>909</v>
      </c>
    </row>
    <row r="44" spans="1:10" hidden="1" x14ac:dyDescent="0.25">
      <c r="A44" t="s">
        <v>910</v>
      </c>
      <c r="B44" s="1">
        <v>46248</v>
      </c>
      <c r="C44" t="s">
        <v>43</v>
      </c>
      <c r="D44" t="s">
        <v>904</v>
      </c>
      <c r="E44" t="s">
        <v>911</v>
      </c>
      <c r="F44" s="23">
        <v>452.18</v>
      </c>
      <c r="G44" s="23"/>
      <c r="H44" s="1">
        <v>46248</v>
      </c>
      <c r="I44" t="s">
        <v>697</v>
      </c>
      <c r="J44" t="s">
        <v>912</v>
      </c>
    </row>
    <row r="45" spans="1:10" hidden="1" x14ac:dyDescent="0.25">
      <c r="A45" t="s">
        <v>910</v>
      </c>
      <c r="B45" s="1">
        <v>46248</v>
      </c>
      <c r="C45" t="s">
        <v>43</v>
      </c>
      <c r="D45" t="s">
        <v>904</v>
      </c>
      <c r="E45" t="s">
        <v>955</v>
      </c>
      <c r="F45" s="23">
        <v>889.56</v>
      </c>
      <c r="G45" s="23"/>
      <c r="H45" s="1">
        <v>46248</v>
      </c>
      <c r="I45" t="s">
        <v>697</v>
      </c>
      <c r="J45" t="s">
        <v>956</v>
      </c>
    </row>
    <row r="46" spans="1:10" hidden="1" x14ac:dyDescent="0.25">
      <c r="A46" t="s">
        <v>348</v>
      </c>
      <c r="B46" s="1">
        <v>46233</v>
      </c>
      <c r="C46" t="s">
        <v>43</v>
      </c>
      <c r="D46" t="s">
        <v>349</v>
      </c>
      <c r="E46" t="s">
        <v>350</v>
      </c>
      <c r="F46" s="23">
        <v>520</v>
      </c>
      <c r="G46" s="23"/>
      <c r="H46" s="1">
        <v>46232</v>
      </c>
      <c r="I46" t="s">
        <v>697</v>
      </c>
      <c r="J46" t="s">
        <v>351</v>
      </c>
    </row>
    <row r="47" spans="1:10" hidden="1" x14ac:dyDescent="0.25">
      <c r="A47" t="s">
        <v>348</v>
      </c>
      <c r="B47" s="1">
        <v>46233</v>
      </c>
      <c r="C47" t="s">
        <v>43</v>
      </c>
      <c r="D47" t="s">
        <v>349</v>
      </c>
      <c r="E47" t="s">
        <v>454</v>
      </c>
      <c r="F47" s="23">
        <v>62</v>
      </c>
      <c r="G47" s="23"/>
      <c r="H47" s="1">
        <v>46239</v>
      </c>
      <c r="I47" t="s">
        <v>697</v>
      </c>
      <c r="J47" t="s">
        <v>455</v>
      </c>
    </row>
    <row r="48" spans="1:10" x14ac:dyDescent="0.25">
      <c r="A48" s="2" t="s">
        <v>924</v>
      </c>
      <c r="B48" s="3">
        <v>46248</v>
      </c>
      <c r="C48" s="2" t="s">
        <v>43</v>
      </c>
      <c r="D48" s="2" t="s">
        <v>923</v>
      </c>
      <c r="E48" s="2" t="s">
        <v>927</v>
      </c>
      <c r="F48" s="24">
        <v>13164.37</v>
      </c>
      <c r="G48" s="24"/>
      <c r="H48" s="3">
        <v>46251</v>
      </c>
      <c r="I48" s="2" t="s">
        <v>965</v>
      </c>
      <c r="J48" s="2" t="s">
        <v>926</v>
      </c>
    </row>
    <row r="49" spans="1:10" x14ac:dyDescent="0.25">
      <c r="A49" s="2" t="s">
        <v>924</v>
      </c>
      <c r="B49" s="3">
        <v>46248</v>
      </c>
      <c r="C49" s="2" t="s">
        <v>43</v>
      </c>
      <c r="D49" s="2" t="s">
        <v>923</v>
      </c>
      <c r="E49" s="2" t="s">
        <v>928</v>
      </c>
      <c r="F49" s="24">
        <v>598.5</v>
      </c>
      <c r="G49" s="24"/>
      <c r="H49" s="3">
        <v>46251</v>
      </c>
      <c r="I49" s="2" t="s">
        <v>965</v>
      </c>
      <c r="J49" s="2" t="s">
        <v>929</v>
      </c>
    </row>
    <row r="50" spans="1:10" hidden="1" x14ac:dyDescent="0.25">
      <c r="A50" t="s">
        <v>290</v>
      </c>
      <c r="B50" s="1">
        <v>46181</v>
      </c>
      <c r="C50" t="s">
        <v>43</v>
      </c>
      <c r="D50" t="s">
        <v>339</v>
      </c>
      <c r="E50" t="s">
        <v>352</v>
      </c>
      <c r="F50" s="23"/>
      <c r="G50" s="23">
        <v>120</v>
      </c>
      <c r="H50" s="1">
        <v>46232</v>
      </c>
      <c r="I50" t="s">
        <v>697</v>
      </c>
      <c r="J50" t="s">
        <v>353</v>
      </c>
    </row>
    <row r="51" spans="1:10" hidden="1" x14ac:dyDescent="0.25">
      <c r="A51" t="s">
        <v>180</v>
      </c>
      <c r="B51" s="1">
        <v>46238</v>
      </c>
      <c r="C51" t="s">
        <v>43</v>
      </c>
      <c r="D51" t="s">
        <v>433</v>
      </c>
      <c r="E51" t="s">
        <v>434</v>
      </c>
      <c r="F51" s="23">
        <v>154.36000000000001</v>
      </c>
      <c r="G51" s="23"/>
      <c r="H51" s="1">
        <v>46238</v>
      </c>
      <c r="I51" t="s">
        <v>697</v>
      </c>
      <c r="J51" t="s">
        <v>435</v>
      </c>
    </row>
    <row r="52" spans="1:10" hidden="1" x14ac:dyDescent="0.25">
      <c r="A52" t="s">
        <v>180</v>
      </c>
      <c r="B52" s="1">
        <v>46238</v>
      </c>
      <c r="C52" t="s">
        <v>43</v>
      </c>
      <c r="D52" t="s">
        <v>433</v>
      </c>
      <c r="E52" t="s">
        <v>436</v>
      </c>
      <c r="F52" s="23">
        <v>299.64</v>
      </c>
      <c r="G52" s="23"/>
      <c r="H52" s="1">
        <v>46238</v>
      </c>
      <c r="I52" t="s">
        <v>697</v>
      </c>
      <c r="J52" t="s">
        <v>435</v>
      </c>
    </row>
    <row r="53" spans="1:10" x14ac:dyDescent="0.25">
      <c r="A53" s="2" t="s">
        <v>924</v>
      </c>
      <c r="B53" s="3">
        <v>46248</v>
      </c>
      <c r="C53" s="2" t="s">
        <v>43</v>
      </c>
      <c r="D53" s="2" t="s">
        <v>923</v>
      </c>
      <c r="E53" s="2" t="s">
        <v>930</v>
      </c>
      <c r="F53" s="24">
        <v>3391.5</v>
      </c>
      <c r="G53" s="24"/>
      <c r="H53" s="3">
        <v>46251</v>
      </c>
      <c r="I53" s="2" t="s">
        <v>965</v>
      </c>
      <c r="J53" s="2" t="s">
        <v>929</v>
      </c>
    </row>
    <row r="54" spans="1:10" x14ac:dyDescent="0.25">
      <c r="A54" t="s">
        <v>554</v>
      </c>
      <c r="B54" s="1">
        <v>46239</v>
      </c>
      <c r="C54" t="s">
        <v>43</v>
      </c>
      <c r="D54" t="s">
        <v>201</v>
      </c>
      <c r="E54" t="s">
        <v>564</v>
      </c>
      <c r="F54" s="23">
        <v>387.23</v>
      </c>
      <c r="G54" s="23"/>
      <c r="H54" s="1">
        <v>46253</v>
      </c>
      <c r="I54" t="s">
        <v>789</v>
      </c>
      <c r="J54" t="s">
        <v>565</v>
      </c>
    </row>
    <row r="55" spans="1:10" x14ac:dyDescent="0.25">
      <c r="A55" s="2" t="s">
        <v>554</v>
      </c>
      <c r="B55" s="3">
        <v>46248</v>
      </c>
      <c r="C55" s="2" t="s">
        <v>43</v>
      </c>
      <c r="D55" s="2" t="s">
        <v>900</v>
      </c>
      <c r="E55" s="2" t="s">
        <v>901</v>
      </c>
      <c r="F55" s="24"/>
      <c r="G55" s="24">
        <v>30</v>
      </c>
      <c r="H55" s="3">
        <v>46253</v>
      </c>
      <c r="I55" s="2" t="s">
        <v>965</v>
      </c>
      <c r="J55" s="2" t="s">
        <v>902</v>
      </c>
    </row>
    <row r="56" spans="1:10" hidden="1" x14ac:dyDescent="0.25">
      <c r="A56" t="s">
        <v>949</v>
      </c>
      <c r="B56" s="1">
        <v>46248</v>
      </c>
      <c r="C56" t="s">
        <v>43</v>
      </c>
      <c r="D56" t="s">
        <v>960</v>
      </c>
      <c r="E56" t="s">
        <v>961</v>
      </c>
      <c r="F56" s="25">
        <v>140.16</v>
      </c>
      <c r="G56" s="25"/>
      <c r="H56" s="1">
        <v>46251</v>
      </c>
      <c r="I56" t="s">
        <v>976</v>
      </c>
      <c r="J56" t="s">
        <v>962</v>
      </c>
    </row>
    <row r="57" spans="1:10" x14ac:dyDescent="0.25">
      <c r="A57" s="2" t="s">
        <v>532</v>
      </c>
      <c r="B57" s="3">
        <v>46223</v>
      </c>
      <c r="C57" s="2" t="s">
        <v>43</v>
      </c>
      <c r="D57" s="2" t="s">
        <v>443</v>
      </c>
      <c r="E57" s="2" t="s">
        <v>571</v>
      </c>
      <c r="F57" s="24">
        <v>2418</v>
      </c>
      <c r="G57" s="24"/>
      <c r="H57" s="3">
        <v>46253</v>
      </c>
      <c r="I57" s="2" t="s">
        <v>965</v>
      </c>
      <c r="J57" s="2" t="s">
        <v>572</v>
      </c>
    </row>
    <row r="58" spans="1:10" hidden="1" x14ac:dyDescent="0.25">
      <c r="A58" t="s">
        <v>366</v>
      </c>
      <c r="B58" s="1">
        <v>46209</v>
      </c>
      <c r="C58" t="s">
        <v>43</v>
      </c>
      <c r="D58" t="s">
        <v>377</v>
      </c>
      <c r="E58" t="s">
        <v>378</v>
      </c>
      <c r="F58" s="23"/>
      <c r="G58" s="23">
        <v>520.38</v>
      </c>
      <c r="H58" s="1">
        <v>46234</v>
      </c>
      <c r="I58" t="s">
        <v>697</v>
      </c>
      <c r="J58" t="s">
        <v>379</v>
      </c>
    </row>
    <row r="59" spans="1:10" x14ac:dyDescent="0.25">
      <c r="A59" s="2" t="s">
        <v>554</v>
      </c>
      <c r="B59" s="3">
        <v>46248</v>
      </c>
      <c r="C59" s="2" t="s">
        <v>43</v>
      </c>
      <c r="D59" s="2" t="s">
        <v>918</v>
      </c>
      <c r="E59" s="2" t="s">
        <v>919</v>
      </c>
      <c r="F59" s="24">
        <v>36</v>
      </c>
      <c r="G59" s="24"/>
      <c r="H59" s="3">
        <v>46253</v>
      </c>
      <c r="I59" s="2" t="s">
        <v>965</v>
      </c>
      <c r="J59" s="2" t="s">
        <v>920</v>
      </c>
    </row>
    <row r="60" spans="1:10" x14ac:dyDescent="0.25">
      <c r="A60" s="2" t="s">
        <v>348</v>
      </c>
      <c r="B60" s="3">
        <v>46248</v>
      </c>
      <c r="C60" s="2" t="s">
        <v>43</v>
      </c>
      <c r="D60" s="2" t="s">
        <v>913</v>
      </c>
      <c r="E60" s="2" t="s">
        <v>914</v>
      </c>
      <c r="F60" s="24"/>
      <c r="G60" s="24">
        <v>900</v>
      </c>
      <c r="H60" s="3">
        <v>46254</v>
      </c>
      <c r="I60" s="2" t="s">
        <v>965</v>
      </c>
      <c r="J60" s="2" t="s">
        <v>915</v>
      </c>
    </row>
    <row r="61" spans="1:10" x14ac:dyDescent="0.25">
      <c r="A61" t="s">
        <v>554</v>
      </c>
      <c r="B61" s="1">
        <v>46248</v>
      </c>
      <c r="C61" t="s">
        <v>43</v>
      </c>
      <c r="D61" t="s">
        <v>894</v>
      </c>
      <c r="E61" t="s">
        <v>895</v>
      </c>
      <c r="F61" s="23">
        <v>74</v>
      </c>
      <c r="G61" s="23"/>
      <c r="H61" s="1">
        <v>46255</v>
      </c>
      <c r="J61" t="s">
        <v>896</v>
      </c>
    </row>
    <row r="62" spans="1:10" x14ac:dyDescent="0.25">
      <c r="A62" s="2" t="s">
        <v>287</v>
      </c>
      <c r="B62" s="3">
        <v>46237</v>
      </c>
      <c r="C62" s="2" t="s">
        <v>43</v>
      </c>
      <c r="D62" s="2" t="s">
        <v>112</v>
      </c>
      <c r="E62" s="2" t="s">
        <v>573</v>
      </c>
      <c r="F62" s="24">
        <v>22</v>
      </c>
      <c r="G62" s="24"/>
      <c r="H62" s="3">
        <v>46255</v>
      </c>
      <c r="I62" s="2" t="s">
        <v>965</v>
      </c>
      <c r="J62" s="2" t="s">
        <v>574</v>
      </c>
    </row>
    <row r="63" spans="1:10" hidden="1" x14ac:dyDescent="0.25">
      <c r="A63" t="s">
        <v>467</v>
      </c>
      <c r="B63" s="1">
        <v>46245</v>
      </c>
      <c r="C63" t="s">
        <v>43</v>
      </c>
      <c r="D63" t="s">
        <v>743</v>
      </c>
      <c r="E63" t="s">
        <v>744</v>
      </c>
      <c r="F63" s="23">
        <v>1684.76</v>
      </c>
      <c r="G63" s="23"/>
      <c r="H63" s="1">
        <v>46246</v>
      </c>
      <c r="I63" t="s">
        <v>697</v>
      </c>
      <c r="J63" t="s">
        <v>745</v>
      </c>
    </row>
    <row r="64" spans="1:10" hidden="1" x14ac:dyDescent="0.25">
      <c r="A64" t="s">
        <v>366</v>
      </c>
      <c r="B64" s="1">
        <v>46237</v>
      </c>
      <c r="C64" t="s">
        <v>43</v>
      </c>
      <c r="D64" t="s">
        <v>427</v>
      </c>
      <c r="E64" t="s">
        <v>428</v>
      </c>
      <c r="F64" s="23"/>
      <c r="G64" s="23">
        <v>320</v>
      </c>
      <c r="H64" s="1">
        <v>46237</v>
      </c>
      <c r="I64" t="s">
        <v>697</v>
      </c>
      <c r="J64" t="s">
        <v>429</v>
      </c>
    </row>
    <row r="65" spans="1:10" hidden="1" x14ac:dyDescent="0.25">
      <c r="A65" t="s">
        <v>366</v>
      </c>
      <c r="B65" s="1">
        <v>46239</v>
      </c>
      <c r="C65" t="s">
        <v>43</v>
      </c>
      <c r="D65" t="s">
        <v>427</v>
      </c>
      <c r="E65" t="s">
        <v>458</v>
      </c>
      <c r="F65" s="23"/>
      <c r="G65" s="23">
        <v>95</v>
      </c>
      <c r="H65" s="1">
        <v>46239</v>
      </c>
      <c r="I65" t="s">
        <v>697</v>
      </c>
      <c r="J65" t="s">
        <v>459</v>
      </c>
    </row>
    <row r="66" spans="1:10" hidden="1" x14ac:dyDescent="0.25">
      <c r="A66" t="s">
        <v>180</v>
      </c>
      <c r="B66" s="1">
        <v>46238</v>
      </c>
      <c r="C66" t="s">
        <v>43</v>
      </c>
      <c r="D66" t="s">
        <v>437</v>
      </c>
      <c r="E66" t="s">
        <v>438</v>
      </c>
      <c r="F66" s="23">
        <v>545</v>
      </c>
      <c r="G66" s="23"/>
      <c r="H66" s="1">
        <v>46238</v>
      </c>
      <c r="I66" t="s">
        <v>697</v>
      </c>
      <c r="J66" t="s">
        <v>439</v>
      </c>
    </row>
    <row r="67" spans="1:10" hidden="1" x14ac:dyDescent="0.25">
      <c r="A67" t="s">
        <v>180</v>
      </c>
      <c r="B67" s="1">
        <v>46238</v>
      </c>
      <c r="C67" t="s">
        <v>43</v>
      </c>
      <c r="D67" t="s">
        <v>437</v>
      </c>
      <c r="E67" t="s">
        <v>440</v>
      </c>
      <c r="F67" s="23">
        <v>95</v>
      </c>
      <c r="G67" s="23"/>
      <c r="H67" s="1">
        <v>46238</v>
      </c>
      <c r="I67" t="s">
        <v>697</v>
      </c>
      <c r="J67" t="s">
        <v>441</v>
      </c>
    </row>
    <row r="68" spans="1:10" hidden="1" x14ac:dyDescent="0.25">
      <c r="A68" t="s">
        <v>442</v>
      </c>
      <c r="B68" s="1">
        <v>46237</v>
      </c>
      <c r="C68" t="s">
        <v>43</v>
      </c>
      <c r="D68" t="s">
        <v>443</v>
      </c>
      <c r="E68" t="s">
        <v>444</v>
      </c>
      <c r="F68" s="23">
        <v>2578</v>
      </c>
      <c r="G68" s="23"/>
      <c r="H68" s="1">
        <v>46238</v>
      </c>
      <c r="I68" t="s">
        <v>697</v>
      </c>
      <c r="J68" t="s">
        <v>445</v>
      </c>
    </row>
    <row r="69" spans="1:10" x14ac:dyDescent="0.25">
      <c r="A69" t="s">
        <v>348</v>
      </c>
      <c r="B69" s="1">
        <v>46248</v>
      </c>
      <c r="C69" t="s">
        <v>43</v>
      </c>
      <c r="D69" t="s">
        <v>620</v>
      </c>
      <c r="E69" t="s">
        <v>921</v>
      </c>
      <c r="F69" s="23">
        <v>507.4</v>
      </c>
      <c r="G69" s="23"/>
      <c r="H69" s="1">
        <v>46255</v>
      </c>
      <c r="J69" t="s">
        <v>922</v>
      </c>
    </row>
    <row r="70" spans="1:10" x14ac:dyDescent="0.25">
      <c r="A70" s="2" t="s">
        <v>446</v>
      </c>
      <c r="B70" s="3">
        <v>46234</v>
      </c>
      <c r="C70" s="2" t="s">
        <v>43</v>
      </c>
      <c r="D70" s="2" t="s">
        <v>237</v>
      </c>
      <c r="E70" s="2" t="s">
        <v>575</v>
      </c>
      <c r="F70" s="24">
        <v>15</v>
      </c>
      <c r="G70" s="24"/>
      <c r="H70" s="3">
        <v>46255</v>
      </c>
      <c r="I70" s="2" t="s">
        <v>965</v>
      </c>
      <c r="J70" s="2" t="s">
        <v>576</v>
      </c>
    </row>
    <row r="71" spans="1:10" x14ac:dyDescent="0.25">
      <c r="A71" s="2" t="s">
        <v>949</v>
      </c>
      <c r="B71" s="3">
        <v>46248</v>
      </c>
      <c r="C71" s="2" t="s">
        <v>43</v>
      </c>
      <c r="D71" s="2" t="s">
        <v>793</v>
      </c>
      <c r="E71" s="2" t="s">
        <v>950</v>
      </c>
      <c r="F71" s="24">
        <v>403.09</v>
      </c>
      <c r="G71" s="24"/>
      <c r="H71" s="3">
        <v>46257</v>
      </c>
      <c r="I71" s="2" t="s">
        <v>965</v>
      </c>
      <c r="J71" s="2" t="s">
        <v>951</v>
      </c>
    </row>
    <row r="72" spans="1:10" x14ac:dyDescent="0.25">
      <c r="A72" s="2" t="s">
        <v>348</v>
      </c>
      <c r="B72" s="3">
        <v>46200</v>
      </c>
      <c r="C72" s="2" t="s">
        <v>43</v>
      </c>
      <c r="D72" s="2" t="s">
        <v>237</v>
      </c>
      <c r="E72" s="2" t="s">
        <v>598</v>
      </c>
      <c r="F72" s="24">
        <v>85</v>
      </c>
      <c r="G72" s="24"/>
      <c r="H72" s="3">
        <v>46259</v>
      </c>
      <c r="I72" s="2" t="s">
        <v>965</v>
      </c>
      <c r="J72" s="2" t="s">
        <v>599</v>
      </c>
    </row>
    <row r="73" spans="1:10" x14ac:dyDescent="0.25">
      <c r="A73" t="s">
        <v>532</v>
      </c>
      <c r="B73" s="1">
        <v>46223</v>
      </c>
      <c r="C73" t="s">
        <v>43</v>
      </c>
      <c r="D73" t="s">
        <v>603</v>
      </c>
      <c r="E73" t="s">
        <v>604</v>
      </c>
      <c r="F73" s="23">
        <v>3866.4</v>
      </c>
      <c r="G73" s="23"/>
      <c r="H73" s="1">
        <v>46260</v>
      </c>
      <c r="J73" t="s">
        <v>605</v>
      </c>
    </row>
    <row r="74" spans="1:10" x14ac:dyDescent="0.25">
      <c r="A74" t="s">
        <v>467</v>
      </c>
      <c r="B74" s="1">
        <v>46241</v>
      </c>
      <c r="C74" t="s">
        <v>43</v>
      </c>
      <c r="D74" t="s">
        <v>17</v>
      </c>
      <c r="E74" t="s">
        <v>608</v>
      </c>
      <c r="F74" s="23">
        <v>33.04</v>
      </c>
      <c r="G74" s="23"/>
      <c r="H74" s="1">
        <v>46263</v>
      </c>
      <c r="J74" t="s">
        <v>609</v>
      </c>
    </row>
    <row r="75" spans="1:10" x14ac:dyDescent="0.25">
      <c r="A75" t="s">
        <v>442</v>
      </c>
      <c r="B75" s="1">
        <v>46248</v>
      </c>
      <c r="C75" t="s">
        <v>43</v>
      </c>
      <c r="D75" t="s">
        <v>447</v>
      </c>
      <c r="E75" t="s">
        <v>945</v>
      </c>
      <c r="F75" s="23"/>
      <c r="G75" s="23">
        <v>540</v>
      </c>
      <c r="H75" s="1">
        <v>46265</v>
      </c>
      <c r="J75" t="s">
        <v>946</v>
      </c>
    </row>
    <row r="76" spans="1:10" x14ac:dyDescent="0.25">
      <c r="A76" t="s">
        <v>554</v>
      </c>
      <c r="B76" s="1">
        <v>46251</v>
      </c>
      <c r="C76" t="s">
        <v>43</v>
      </c>
      <c r="D76" t="s">
        <v>973</v>
      </c>
      <c r="E76" t="s">
        <v>974</v>
      </c>
      <c r="F76" s="23">
        <v>437.8</v>
      </c>
      <c r="G76" s="23"/>
      <c r="H76" s="1">
        <v>46265</v>
      </c>
      <c r="J76" t="s">
        <v>975</v>
      </c>
    </row>
    <row r="77" spans="1:10" x14ac:dyDescent="0.25">
      <c r="A77" t="s">
        <v>617</v>
      </c>
      <c r="B77" s="1">
        <v>46104</v>
      </c>
      <c r="C77" t="s">
        <v>43</v>
      </c>
      <c r="D77" t="s">
        <v>600</v>
      </c>
      <c r="E77" t="s">
        <v>618</v>
      </c>
      <c r="F77" s="23">
        <v>105</v>
      </c>
      <c r="G77" s="23"/>
      <c r="H77" s="1">
        <v>46267</v>
      </c>
      <c r="J77" t="s">
        <v>619</v>
      </c>
    </row>
    <row r="78" spans="1:10" x14ac:dyDescent="0.25">
      <c r="A78" t="s">
        <v>554</v>
      </c>
      <c r="B78" s="1">
        <v>46239</v>
      </c>
      <c r="C78" t="s">
        <v>43</v>
      </c>
      <c r="D78" t="s">
        <v>620</v>
      </c>
      <c r="E78" t="s">
        <v>621</v>
      </c>
      <c r="F78" s="23">
        <v>507.4</v>
      </c>
      <c r="G78" s="23"/>
      <c r="H78" s="1">
        <v>46267</v>
      </c>
      <c r="J78" t="s">
        <v>622</v>
      </c>
    </row>
    <row r="79" spans="1:10" x14ac:dyDescent="0.25">
      <c r="A79" t="s">
        <v>554</v>
      </c>
      <c r="B79" s="1">
        <v>46248</v>
      </c>
      <c r="C79" t="s">
        <v>43</v>
      </c>
      <c r="D79" t="s">
        <v>451</v>
      </c>
      <c r="E79" t="s">
        <v>947</v>
      </c>
      <c r="F79" s="23">
        <v>344.56</v>
      </c>
      <c r="G79" s="23"/>
      <c r="H79" s="1">
        <v>46272</v>
      </c>
      <c r="J79" t="s">
        <v>948</v>
      </c>
    </row>
    <row r="80" spans="1:10" x14ac:dyDescent="0.25">
      <c r="A80" t="s">
        <v>554</v>
      </c>
      <c r="B80" s="1">
        <v>46248</v>
      </c>
      <c r="C80" t="s">
        <v>43</v>
      </c>
      <c r="D80" t="s">
        <v>392</v>
      </c>
      <c r="E80" t="s">
        <v>916</v>
      </c>
      <c r="F80" s="23"/>
      <c r="G80" s="23">
        <v>450</v>
      </c>
      <c r="H80" s="1">
        <v>46272</v>
      </c>
      <c r="J80" t="s">
        <v>917</v>
      </c>
    </row>
    <row r="81" spans="1:10" x14ac:dyDescent="0.25">
      <c r="A81" t="s">
        <v>532</v>
      </c>
      <c r="B81" s="1">
        <v>46223</v>
      </c>
      <c r="C81" t="s">
        <v>43</v>
      </c>
      <c r="D81" t="s">
        <v>628</v>
      </c>
      <c r="E81" t="s">
        <v>629</v>
      </c>
      <c r="F81" s="23">
        <v>1298</v>
      </c>
      <c r="G81" s="23"/>
      <c r="H81" s="1">
        <v>46274</v>
      </c>
      <c r="J81" t="s">
        <v>630</v>
      </c>
    </row>
    <row r="82" spans="1:10" x14ac:dyDescent="0.25">
      <c r="A82" t="s">
        <v>532</v>
      </c>
      <c r="B82" s="1">
        <v>46223</v>
      </c>
      <c r="C82" t="s">
        <v>43</v>
      </c>
      <c r="D82" t="s">
        <v>631</v>
      </c>
      <c r="E82" t="s">
        <v>632</v>
      </c>
      <c r="F82" s="23">
        <v>443.55</v>
      </c>
      <c r="G82" s="23"/>
      <c r="H82" s="1">
        <v>46274</v>
      </c>
      <c r="J82" t="s">
        <v>633</v>
      </c>
    </row>
    <row r="83" spans="1:10" x14ac:dyDescent="0.25">
      <c r="A83" t="s">
        <v>554</v>
      </c>
      <c r="B83" s="1">
        <v>46204</v>
      </c>
      <c r="C83" t="s">
        <v>43</v>
      </c>
      <c r="D83" t="s">
        <v>273</v>
      </c>
      <c r="E83" t="s">
        <v>680</v>
      </c>
      <c r="F83" s="23">
        <v>448.8</v>
      </c>
      <c r="G83" s="23"/>
      <c r="H83" s="1">
        <v>46276</v>
      </c>
      <c r="J83" t="s">
        <v>681</v>
      </c>
    </row>
    <row r="84" spans="1:10" x14ac:dyDescent="0.25">
      <c r="A84" t="s">
        <v>617</v>
      </c>
      <c r="B84" s="1">
        <v>46104</v>
      </c>
      <c r="C84" t="s">
        <v>43</v>
      </c>
      <c r="D84" t="s">
        <v>600</v>
      </c>
      <c r="E84" t="s">
        <v>685</v>
      </c>
      <c r="F84" s="23">
        <v>945.02</v>
      </c>
      <c r="G84" s="23"/>
      <c r="H84" s="1">
        <v>46281</v>
      </c>
      <c r="J84" t="s">
        <v>619</v>
      </c>
    </row>
    <row r="85" spans="1:10" x14ac:dyDescent="0.25">
      <c r="A85" t="s">
        <v>532</v>
      </c>
      <c r="B85" s="1">
        <v>46223</v>
      </c>
      <c r="C85" t="s">
        <v>43</v>
      </c>
      <c r="D85" t="s">
        <v>686</v>
      </c>
      <c r="E85" t="s">
        <v>687</v>
      </c>
      <c r="F85" s="23">
        <v>3030</v>
      </c>
      <c r="G85" s="23"/>
      <c r="H85" s="1">
        <v>46281</v>
      </c>
      <c r="J85" t="s">
        <v>688</v>
      </c>
    </row>
    <row r="86" spans="1:10" x14ac:dyDescent="0.25">
      <c r="A86" t="s">
        <v>532</v>
      </c>
      <c r="B86" s="1">
        <v>46223</v>
      </c>
      <c r="C86" t="s">
        <v>43</v>
      </c>
      <c r="D86" t="s">
        <v>691</v>
      </c>
      <c r="E86" t="s">
        <v>692</v>
      </c>
      <c r="F86" s="23">
        <v>3034.9</v>
      </c>
      <c r="G86" s="23"/>
      <c r="H86" s="1">
        <v>46288</v>
      </c>
      <c r="J86" t="s">
        <v>693</v>
      </c>
    </row>
    <row r="87" spans="1:10" x14ac:dyDescent="0.25">
      <c r="A87" t="s">
        <v>532</v>
      </c>
      <c r="B87" s="1">
        <v>46223</v>
      </c>
      <c r="C87" t="s">
        <v>43</v>
      </c>
      <c r="D87" t="s">
        <v>694</v>
      </c>
      <c r="E87" t="s">
        <v>695</v>
      </c>
      <c r="F87" s="23">
        <v>253</v>
      </c>
      <c r="G87" s="23"/>
      <c r="H87" s="1">
        <v>46288</v>
      </c>
      <c r="J87" t="s">
        <v>696</v>
      </c>
    </row>
    <row r="88" spans="1:10" x14ac:dyDescent="0.25">
      <c r="A88" t="s">
        <v>529</v>
      </c>
      <c r="B88" s="1">
        <v>46171</v>
      </c>
      <c r="C88" t="s">
        <v>43</v>
      </c>
      <c r="D88" t="s">
        <v>793</v>
      </c>
      <c r="E88" t="s">
        <v>966</v>
      </c>
      <c r="F88" s="23">
        <v>813.25</v>
      </c>
      <c r="G88" s="23"/>
      <c r="H88" s="1">
        <v>46307</v>
      </c>
      <c r="J88" t="s">
        <v>967</v>
      </c>
    </row>
    <row r="89" spans="1:10" x14ac:dyDescent="0.25">
      <c r="A89" t="s">
        <v>968</v>
      </c>
      <c r="B89" s="1">
        <v>46218</v>
      </c>
      <c r="C89" t="s">
        <v>43</v>
      </c>
      <c r="D89" t="s">
        <v>631</v>
      </c>
      <c r="E89" t="s">
        <v>969</v>
      </c>
      <c r="F89" s="23">
        <v>124.2</v>
      </c>
      <c r="G89" s="23"/>
      <c r="H89" s="1">
        <v>46323</v>
      </c>
      <c r="J89" t="s">
        <v>970</v>
      </c>
    </row>
    <row r="90" spans="1:10" x14ac:dyDescent="0.25">
      <c r="A90" t="s">
        <v>198</v>
      </c>
      <c r="B90" s="1">
        <v>46184</v>
      </c>
      <c r="C90" t="s">
        <v>8</v>
      </c>
      <c r="D90" t="s">
        <v>306</v>
      </c>
      <c r="E90" t="s">
        <v>307</v>
      </c>
      <c r="F90" s="23">
        <v>171</v>
      </c>
      <c r="G90" s="23"/>
      <c r="H90" s="1">
        <v>46227</v>
      </c>
      <c r="I90" t="s">
        <v>893</v>
      </c>
      <c r="J90" t="s">
        <v>308</v>
      </c>
    </row>
    <row r="91" spans="1:10" x14ac:dyDescent="0.25">
      <c r="A91" t="s">
        <v>198</v>
      </c>
      <c r="B91" s="1">
        <v>46238</v>
      </c>
      <c r="C91" t="s">
        <v>8</v>
      </c>
      <c r="D91" t="s">
        <v>450</v>
      </c>
      <c r="E91" t="s">
        <v>472</v>
      </c>
      <c r="F91" s="23">
        <v>15</v>
      </c>
      <c r="G91" s="23"/>
      <c r="H91" s="1">
        <v>46241</v>
      </c>
      <c r="I91" t="s">
        <v>893</v>
      </c>
      <c r="J91" t="s">
        <v>473</v>
      </c>
    </row>
    <row r="92" spans="1:10" x14ac:dyDescent="0.25">
      <c r="A92" t="s">
        <v>187</v>
      </c>
      <c r="B92" s="1">
        <v>46203</v>
      </c>
      <c r="C92" t="s">
        <v>8</v>
      </c>
      <c r="D92" t="s">
        <v>153</v>
      </c>
      <c r="E92" t="s">
        <v>188</v>
      </c>
      <c r="F92" s="23"/>
      <c r="G92" s="23">
        <v>20</v>
      </c>
      <c r="H92" s="1">
        <v>46206</v>
      </c>
      <c r="I92" t="s">
        <v>893</v>
      </c>
      <c r="J92" t="s">
        <v>189</v>
      </c>
    </row>
    <row r="93" spans="1:10" x14ac:dyDescent="0.25">
      <c r="A93" t="s">
        <v>215</v>
      </c>
      <c r="B93" s="1">
        <v>46205</v>
      </c>
      <c r="C93" t="s">
        <v>8</v>
      </c>
      <c r="D93" t="s">
        <v>156</v>
      </c>
      <c r="E93" t="s">
        <v>216</v>
      </c>
      <c r="F93" s="23">
        <v>90</v>
      </c>
      <c r="G93" s="23"/>
      <c r="H93" s="1">
        <v>46213</v>
      </c>
      <c r="I93" t="s">
        <v>893</v>
      </c>
      <c r="J93" t="s">
        <v>217</v>
      </c>
    </row>
    <row r="94" spans="1:10" x14ac:dyDescent="0.25">
      <c r="A94" t="s">
        <v>290</v>
      </c>
      <c r="B94" s="1">
        <v>46181</v>
      </c>
      <c r="C94" t="s">
        <v>8</v>
      </c>
      <c r="D94" t="s">
        <v>156</v>
      </c>
      <c r="E94" t="s">
        <v>291</v>
      </c>
      <c r="F94" s="23">
        <v>90</v>
      </c>
      <c r="G94" s="23"/>
      <c r="H94" s="1">
        <v>46225</v>
      </c>
      <c r="I94" t="s">
        <v>893</v>
      </c>
      <c r="J94" t="s">
        <v>292</v>
      </c>
    </row>
    <row r="95" spans="1:10" x14ac:dyDescent="0.25">
      <c r="A95" t="s">
        <v>309</v>
      </c>
      <c r="B95" s="1">
        <v>46218</v>
      </c>
      <c r="C95" t="s">
        <v>8</v>
      </c>
      <c r="D95" t="s">
        <v>156</v>
      </c>
      <c r="E95" t="s">
        <v>310</v>
      </c>
      <c r="F95" s="23">
        <v>212</v>
      </c>
      <c r="G95" s="23"/>
      <c r="H95" s="1">
        <v>46227</v>
      </c>
      <c r="I95" t="s">
        <v>893</v>
      </c>
      <c r="J95" t="s">
        <v>311</v>
      </c>
    </row>
    <row r="96" spans="1:10" x14ac:dyDescent="0.25">
      <c r="A96" t="s">
        <v>204</v>
      </c>
      <c r="B96" s="1">
        <v>46176</v>
      </c>
      <c r="C96" t="s">
        <v>8</v>
      </c>
      <c r="D96" t="s">
        <v>39</v>
      </c>
      <c r="E96" t="s">
        <v>380</v>
      </c>
      <c r="F96" s="23">
        <v>261.48</v>
      </c>
      <c r="G96" s="23"/>
      <c r="H96" s="1">
        <v>46234</v>
      </c>
      <c r="I96" t="s">
        <v>893</v>
      </c>
      <c r="J96" t="s">
        <v>381</v>
      </c>
    </row>
    <row r="97" spans="1:10" x14ac:dyDescent="0.25">
      <c r="A97" t="s">
        <v>159</v>
      </c>
      <c r="B97" s="1">
        <v>46178</v>
      </c>
      <c r="C97" t="s">
        <v>8</v>
      </c>
      <c r="D97" t="s">
        <v>39</v>
      </c>
      <c r="E97" t="s">
        <v>382</v>
      </c>
      <c r="F97" s="23">
        <v>363.64</v>
      </c>
      <c r="G97" s="23"/>
      <c r="H97" s="1">
        <v>46234</v>
      </c>
      <c r="I97" t="s">
        <v>893</v>
      </c>
      <c r="J97" t="s">
        <v>383</v>
      </c>
    </row>
    <row r="98" spans="1:10" x14ac:dyDescent="0.25">
      <c r="A98" t="s">
        <v>204</v>
      </c>
      <c r="B98" s="1">
        <v>46246</v>
      </c>
      <c r="C98" t="s">
        <v>8</v>
      </c>
      <c r="D98" t="s">
        <v>39</v>
      </c>
      <c r="E98" t="s">
        <v>746</v>
      </c>
      <c r="F98" s="23">
        <v>171.3</v>
      </c>
      <c r="G98" s="23"/>
      <c r="H98" s="1">
        <v>46246</v>
      </c>
      <c r="I98" t="s">
        <v>893</v>
      </c>
      <c r="J98" t="s">
        <v>747</v>
      </c>
    </row>
    <row r="99" spans="1:10" x14ac:dyDescent="0.25">
      <c r="A99" t="s">
        <v>287</v>
      </c>
      <c r="B99" s="1">
        <v>46246</v>
      </c>
      <c r="C99" t="s">
        <v>8</v>
      </c>
      <c r="D99" t="s">
        <v>39</v>
      </c>
      <c r="E99" t="s">
        <v>748</v>
      </c>
      <c r="F99" s="23">
        <v>537.24</v>
      </c>
      <c r="G99" s="23"/>
      <c r="H99" s="1">
        <v>46248</v>
      </c>
      <c r="I99" t="s">
        <v>893</v>
      </c>
      <c r="J99" t="s">
        <v>749</v>
      </c>
    </row>
    <row r="100" spans="1:10" x14ac:dyDescent="0.25">
      <c r="A100" t="s">
        <v>348</v>
      </c>
      <c r="B100" s="1">
        <v>46245</v>
      </c>
      <c r="C100" t="s">
        <v>8</v>
      </c>
      <c r="D100" t="s">
        <v>39</v>
      </c>
      <c r="E100" t="s">
        <v>722</v>
      </c>
      <c r="F100" s="23">
        <v>219.52</v>
      </c>
      <c r="G100" s="23"/>
      <c r="H100" s="1">
        <v>46269</v>
      </c>
      <c r="I100" t="s">
        <v>893</v>
      </c>
      <c r="J100" t="s">
        <v>723</v>
      </c>
    </row>
    <row r="101" spans="1:10" x14ac:dyDescent="0.25">
      <c r="A101" t="s">
        <v>152</v>
      </c>
      <c r="B101" s="1">
        <v>46220</v>
      </c>
      <c r="C101" t="s">
        <v>8</v>
      </c>
      <c r="D101" t="s">
        <v>245</v>
      </c>
      <c r="E101" t="s">
        <v>246</v>
      </c>
      <c r="F101" s="23">
        <v>46</v>
      </c>
      <c r="G101" s="23"/>
      <c r="H101" s="1">
        <v>46220</v>
      </c>
      <c r="I101" t="s">
        <v>893</v>
      </c>
      <c r="J101" t="s">
        <v>247</v>
      </c>
    </row>
    <row r="102" spans="1:10" x14ac:dyDescent="0.25">
      <c r="A102" t="s">
        <v>159</v>
      </c>
      <c r="B102" s="1">
        <v>46178</v>
      </c>
      <c r="C102" t="s">
        <v>8</v>
      </c>
      <c r="D102" t="s">
        <v>451</v>
      </c>
      <c r="E102" t="s">
        <v>534</v>
      </c>
      <c r="F102" s="23">
        <v>500.32</v>
      </c>
      <c r="G102" s="23"/>
      <c r="H102" s="1">
        <v>46247</v>
      </c>
      <c r="I102" t="s">
        <v>893</v>
      </c>
      <c r="J102" t="s">
        <v>535</v>
      </c>
    </row>
    <row r="103" spans="1:10" x14ac:dyDescent="0.25">
      <c r="A103" t="s">
        <v>212</v>
      </c>
      <c r="B103" s="1">
        <v>46183</v>
      </c>
      <c r="C103" t="s">
        <v>8</v>
      </c>
      <c r="D103" t="s">
        <v>793</v>
      </c>
      <c r="E103" t="s">
        <v>293</v>
      </c>
      <c r="F103" s="23">
        <v>309.97000000000003</v>
      </c>
      <c r="G103" s="23"/>
      <c r="H103" s="1">
        <v>46225</v>
      </c>
      <c r="I103" t="s">
        <v>893</v>
      </c>
      <c r="J103" t="s">
        <v>294</v>
      </c>
    </row>
    <row r="104" spans="1:10" x14ac:dyDescent="0.25">
      <c r="A104" t="s">
        <v>184</v>
      </c>
      <c r="B104" s="1">
        <v>46246</v>
      </c>
      <c r="C104" t="s">
        <v>8</v>
      </c>
      <c r="D104" t="s">
        <v>794</v>
      </c>
      <c r="E104" t="s">
        <v>797</v>
      </c>
      <c r="F104" s="23">
        <v>70.8</v>
      </c>
      <c r="G104" s="23"/>
      <c r="H104" s="1">
        <v>46246</v>
      </c>
      <c r="I104" t="s">
        <v>893</v>
      </c>
      <c r="J104" t="s">
        <v>796</v>
      </c>
    </row>
    <row r="105" spans="1:10" x14ac:dyDescent="0.25">
      <c r="A105" t="s">
        <v>204</v>
      </c>
      <c r="B105" s="1">
        <v>46156</v>
      </c>
      <c r="C105" t="s">
        <v>8</v>
      </c>
      <c r="D105" t="s">
        <v>250</v>
      </c>
      <c r="E105" t="s">
        <v>251</v>
      </c>
      <c r="F105" s="23">
        <v>124.3</v>
      </c>
      <c r="G105" s="23"/>
      <c r="H105" s="1">
        <v>46220</v>
      </c>
      <c r="I105" t="s">
        <v>893</v>
      </c>
      <c r="J105" t="s">
        <v>252</v>
      </c>
    </row>
    <row r="106" spans="1:10" x14ac:dyDescent="0.25">
      <c r="A106" t="s">
        <v>287</v>
      </c>
      <c r="B106" s="1">
        <v>46213</v>
      </c>
      <c r="C106" t="s">
        <v>8</v>
      </c>
      <c r="D106" t="s">
        <v>250</v>
      </c>
      <c r="E106" t="s">
        <v>312</v>
      </c>
      <c r="F106" s="23">
        <v>646.79999999999995</v>
      </c>
      <c r="G106" s="23"/>
      <c r="H106" s="1">
        <v>46248</v>
      </c>
      <c r="I106" t="s">
        <v>893</v>
      </c>
      <c r="J106" t="s">
        <v>313</v>
      </c>
    </row>
    <row r="107" spans="1:10" x14ac:dyDescent="0.25">
      <c r="A107" t="s">
        <v>287</v>
      </c>
      <c r="B107" s="1">
        <v>46244</v>
      </c>
      <c r="C107" t="s">
        <v>8</v>
      </c>
      <c r="D107" t="s">
        <v>250</v>
      </c>
      <c r="E107" t="s">
        <v>713</v>
      </c>
      <c r="F107" s="23">
        <v>97.92</v>
      </c>
      <c r="G107" s="23"/>
      <c r="H107" s="1">
        <v>46248</v>
      </c>
      <c r="I107" t="s">
        <v>893</v>
      </c>
      <c r="J107" t="s">
        <v>714</v>
      </c>
    </row>
    <row r="108" spans="1:10" x14ac:dyDescent="0.25">
      <c r="A108" t="s">
        <v>159</v>
      </c>
      <c r="B108" s="1">
        <v>46175</v>
      </c>
      <c r="C108" t="s">
        <v>8</v>
      </c>
      <c r="D108" t="s">
        <v>273</v>
      </c>
      <c r="E108" t="s">
        <v>274</v>
      </c>
      <c r="F108" s="23">
        <v>521.4</v>
      </c>
      <c r="G108" s="23"/>
      <c r="H108" s="1">
        <v>46221</v>
      </c>
      <c r="I108" t="s">
        <v>893</v>
      </c>
      <c r="J108" t="s">
        <v>275</v>
      </c>
    </row>
    <row r="109" spans="1:10" x14ac:dyDescent="0.25">
      <c r="A109" t="s">
        <v>287</v>
      </c>
      <c r="B109" s="1">
        <v>46213</v>
      </c>
      <c r="C109" t="s">
        <v>8</v>
      </c>
      <c r="D109" t="s">
        <v>314</v>
      </c>
      <c r="E109" t="s">
        <v>315</v>
      </c>
      <c r="F109" s="23">
        <v>301.39999999999998</v>
      </c>
      <c r="G109" s="23"/>
      <c r="H109" s="1">
        <v>46227</v>
      </c>
      <c r="I109" t="s">
        <v>893</v>
      </c>
      <c r="J109" t="s">
        <v>316</v>
      </c>
    </row>
    <row r="110" spans="1:10" x14ac:dyDescent="0.25">
      <c r="A110" t="s">
        <v>287</v>
      </c>
      <c r="B110" s="1">
        <v>46213</v>
      </c>
      <c r="C110" t="s">
        <v>8</v>
      </c>
      <c r="D110" t="s">
        <v>314</v>
      </c>
      <c r="E110" t="s">
        <v>317</v>
      </c>
      <c r="F110" s="23">
        <v>301.39999999999998</v>
      </c>
      <c r="G110" s="23"/>
      <c r="H110" s="1">
        <v>46227</v>
      </c>
      <c r="I110" t="s">
        <v>893</v>
      </c>
      <c r="J110" t="s">
        <v>318</v>
      </c>
    </row>
    <row r="111" spans="1:10" x14ac:dyDescent="0.25">
      <c r="A111" t="s">
        <v>184</v>
      </c>
      <c r="B111" s="1">
        <v>46183</v>
      </c>
      <c r="C111" t="s">
        <v>8</v>
      </c>
      <c r="D111" t="s">
        <v>301</v>
      </c>
      <c r="E111" t="s">
        <v>302</v>
      </c>
      <c r="F111" s="23">
        <v>230.37</v>
      </c>
      <c r="G111" s="23"/>
      <c r="H111" s="1">
        <v>46226</v>
      </c>
      <c r="I111" t="s">
        <v>893</v>
      </c>
      <c r="J111" t="s">
        <v>303</v>
      </c>
    </row>
    <row r="112" spans="1:10" x14ac:dyDescent="0.25">
      <c r="A112" t="s">
        <v>184</v>
      </c>
      <c r="B112" s="1">
        <v>46183</v>
      </c>
      <c r="C112" t="s">
        <v>8</v>
      </c>
      <c r="D112" t="s">
        <v>301</v>
      </c>
      <c r="E112" t="s">
        <v>304</v>
      </c>
      <c r="F112" s="23">
        <v>330.74</v>
      </c>
      <c r="G112" s="23"/>
      <c r="H112" s="1">
        <v>46226</v>
      </c>
      <c r="I112" t="s">
        <v>893</v>
      </c>
      <c r="J112" t="s">
        <v>305</v>
      </c>
    </row>
    <row r="113" spans="1:10" x14ac:dyDescent="0.25">
      <c r="A113" t="s">
        <v>184</v>
      </c>
      <c r="B113" s="1">
        <v>46176</v>
      </c>
      <c r="C113" t="s">
        <v>8</v>
      </c>
      <c r="D113" t="s">
        <v>276</v>
      </c>
      <c r="E113" t="s">
        <v>277</v>
      </c>
      <c r="F113" s="23">
        <v>306.89999999999998</v>
      </c>
      <c r="G113" s="23"/>
      <c r="H113" s="1">
        <v>46221</v>
      </c>
      <c r="I113" t="s">
        <v>893</v>
      </c>
      <c r="J113" t="s">
        <v>278</v>
      </c>
    </row>
    <row r="114" spans="1:10" x14ac:dyDescent="0.25">
      <c r="A114" t="s">
        <v>184</v>
      </c>
      <c r="B114" s="1">
        <v>46176</v>
      </c>
      <c r="C114" t="s">
        <v>8</v>
      </c>
      <c r="D114" t="s">
        <v>276</v>
      </c>
      <c r="E114" t="s">
        <v>279</v>
      </c>
      <c r="F114" s="23">
        <v>306.89999999999998</v>
      </c>
      <c r="G114" s="23"/>
      <c r="H114" s="1">
        <v>46221</v>
      </c>
      <c r="I114" t="s">
        <v>893</v>
      </c>
      <c r="J114" t="s">
        <v>280</v>
      </c>
    </row>
    <row r="115" spans="1:10" x14ac:dyDescent="0.25">
      <c r="A115" t="s">
        <v>204</v>
      </c>
      <c r="B115" s="1">
        <v>46175</v>
      </c>
      <c r="C115" t="s">
        <v>8</v>
      </c>
      <c r="D115" t="s">
        <v>276</v>
      </c>
      <c r="E115" t="s">
        <v>342</v>
      </c>
      <c r="F115" s="23">
        <v>226.6</v>
      </c>
      <c r="G115" s="23"/>
      <c r="H115" s="1">
        <v>46230</v>
      </c>
      <c r="I115" t="s">
        <v>893</v>
      </c>
      <c r="J115" t="s">
        <v>343</v>
      </c>
    </row>
    <row r="116" spans="1:10" x14ac:dyDescent="0.25">
      <c r="A116" t="s">
        <v>198</v>
      </c>
      <c r="B116" s="1">
        <v>46181</v>
      </c>
      <c r="C116" t="s">
        <v>8</v>
      </c>
      <c r="D116" t="s">
        <v>356</v>
      </c>
      <c r="E116" t="s">
        <v>357</v>
      </c>
      <c r="F116" s="23">
        <v>170.52</v>
      </c>
      <c r="G116" s="23"/>
      <c r="H116" s="1">
        <v>46232</v>
      </c>
      <c r="I116" t="s">
        <v>893</v>
      </c>
      <c r="J116" t="s">
        <v>358</v>
      </c>
    </row>
    <row r="117" spans="1:10" x14ac:dyDescent="0.25">
      <c r="A117" t="s">
        <v>180</v>
      </c>
      <c r="B117" s="1">
        <v>46246</v>
      </c>
      <c r="C117" t="s">
        <v>8</v>
      </c>
      <c r="D117" t="s">
        <v>417</v>
      </c>
      <c r="E117" t="s">
        <v>798</v>
      </c>
      <c r="F117" s="23"/>
      <c r="G117" s="23">
        <v>84</v>
      </c>
      <c r="H117" s="1">
        <v>46246</v>
      </c>
      <c r="I117" t="s">
        <v>893</v>
      </c>
      <c r="J117" t="s">
        <v>799</v>
      </c>
    </row>
    <row r="118" spans="1:10" x14ac:dyDescent="0.25">
      <c r="A118" t="s">
        <v>180</v>
      </c>
      <c r="B118" s="1">
        <v>46246</v>
      </c>
      <c r="C118" t="s">
        <v>8</v>
      </c>
      <c r="D118" t="s">
        <v>417</v>
      </c>
      <c r="E118" t="s">
        <v>800</v>
      </c>
      <c r="F118" s="23"/>
      <c r="G118" s="23">
        <v>84</v>
      </c>
      <c r="H118" s="1">
        <v>46246</v>
      </c>
      <c r="I118" t="s">
        <v>893</v>
      </c>
      <c r="J118" t="s">
        <v>799</v>
      </c>
    </row>
    <row r="119" spans="1:10" x14ac:dyDescent="0.25">
      <c r="A119" t="s">
        <v>212</v>
      </c>
      <c r="B119" s="1">
        <v>46183</v>
      </c>
      <c r="C119" t="s">
        <v>8</v>
      </c>
      <c r="D119" t="s">
        <v>112</v>
      </c>
      <c r="E119" t="s">
        <v>384</v>
      </c>
      <c r="F119" s="23">
        <v>494.5</v>
      </c>
      <c r="G119" s="23"/>
      <c r="H119" s="1">
        <v>46234</v>
      </c>
      <c r="I119" t="s">
        <v>893</v>
      </c>
      <c r="J119" t="s">
        <v>385</v>
      </c>
    </row>
    <row r="120" spans="1:10" x14ac:dyDescent="0.25">
      <c r="A120" t="s">
        <v>290</v>
      </c>
      <c r="B120" s="1">
        <v>46181</v>
      </c>
      <c r="C120" t="s">
        <v>8</v>
      </c>
      <c r="D120" t="s">
        <v>112</v>
      </c>
      <c r="E120" t="s">
        <v>477</v>
      </c>
      <c r="F120" s="23">
        <v>333</v>
      </c>
      <c r="G120" s="23"/>
      <c r="H120" s="1">
        <v>46241</v>
      </c>
      <c r="I120" t="s">
        <v>893</v>
      </c>
      <c r="J120" t="s">
        <v>478</v>
      </c>
    </row>
    <row r="121" spans="1:10" x14ac:dyDescent="0.25">
      <c r="A121" t="s">
        <v>287</v>
      </c>
      <c r="B121" s="1">
        <v>46237</v>
      </c>
      <c r="C121" t="s">
        <v>8</v>
      </c>
      <c r="D121" t="s">
        <v>112</v>
      </c>
      <c r="E121" t="s">
        <v>577</v>
      </c>
      <c r="F121" s="23">
        <v>25</v>
      </c>
      <c r="G121" s="23"/>
      <c r="H121" s="1">
        <v>46255</v>
      </c>
      <c r="I121" t="s">
        <v>893</v>
      </c>
      <c r="J121" t="s">
        <v>578</v>
      </c>
    </row>
    <row r="122" spans="1:10" x14ac:dyDescent="0.25">
      <c r="A122" t="s">
        <v>467</v>
      </c>
      <c r="B122" s="1">
        <v>46241</v>
      </c>
      <c r="C122" t="s">
        <v>8</v>
      </c>
      <c r="D122" t="s">
        <v>112</v>
      </c>
      <c r="E122" t="s">
        <v>636</v>
      </c>
      <c r="F122" s="23">
        <v>44</v>
      </c>
      <c r="G122" s="23"/>
      <c r="H122" s="1">
        <v>46274</v>
      </c>
      <c r="I122" t="s">
        <v>893</v>
      </c>
      <c r="J122" t="s">
        <v>637</v>
      </c>
    </row>
    <row r="123" spans="1:10" x14ac:dyDescent="0.25">
      <c r="A123" t="s">
        <v>467</v>
      </c>
      <c r="B123" s="1">
        <v>46241</v>
      </c>
      <c r="C123" t="s">
        <v>8</v>
      </c>
      <c r="D123" t="s">
        <v>112</v>
      </c>
      <c r="E123" t="s">
        <v>638</v>
      </c>
      <c r="F123" s="23">
        <v>8.4</v>
      </c>
      <c r="G123" s="23"/>
      <c r="H123" s="1">
        <v>46274</v>
      </c>
      <c r="I123" t="s">
        <v>893</v>
      </c>
      <c r="J123" t="s">
        <v>639</v>
      </c>
    </row>
    <row r="124" spans="1:10" x14ac:dyDescent="0.25">
      <c r="A124" t="s">
        <v>467</v>
      </c>
      <c r="B124" s="1">
        <v>46241</v>
      </c>
      <c r="C124" t="s">
        <v>8</v>
      </c>
      <c r="D124" t="s">
        <v>112</v>
      </c>
      <c r="E124" t="s">
        <v>640</v>
      </c>
      <c r="F124" s="23">
        <v>75</v>
      </c>
      <c r="G124" s="23"/>
      <c r="H124" s="1">
        <v>46274</v>
      </c>
      <c r="I124" t="s">
        <v>893</v>
      </c>
      <c r="J124" t="s">
        <v>641</v>
      </c>
    </row>
    <row r="125" spans="1:10" x14ac:dyDescent="0.25">
      <c r="A125" t="s">
        <v>467</v>
      </c>
      <c r="B125" s="1">
        <v>46241</v>
      </c>
      <c r="C125" t="s">
        <v>8</v>
      </c>
      <c r="D125" t="s">
        <v>112</v>
      </c>
      <c r="E125" t="s">
        <v>642</v>
      </c>
      <c r="F125" s="23">
        <v>8.4</v>
      </c>
      <c r="G125" s="23"/>
      <c r="H125" s="1">
        <v>46274</v>
      </c>
      <c r="I125" t="s">
        <v>893</v>
      </c>
      <c r="J125" t="s">
        <v>643</v>
      </c>
    </row>
    <row r="126" spans="1:10" x14ac:dyDescent="0.25">
      <c r="A126" t="s">
        <v>467</v>
      </c>
      <c r="B126" s="1">
        <v>46241</v>
      </c>
      <c r="C126" t="s">
        <v>8</v>
      </c>
      <c r="D126" t="s">
        <v>112</v>
      </c>
      <c r="E126" t="s">
        <v>644</v>
      </c>
      <c r="F126" s="23">
        <v>15</v>
      </c>
      <c r="G126" s="23"/>
      <c r="H126" s="1">
        <v>46274</v>
      </c>
      <c r="I126" t="s">
        <v>893</v>
      </c>
      <c r="J126" t="s">
        <v>645</v>
      </c>
    </row>
    <row r="127" spans="1:10" x14ac:dyDescent="0.25">
      <c r="A127" t="s">
        <v>467</v>
      </c>
      <c r="B127" s="1">
        <v>46241</v>
      </c>
      <c r="C127" t="s">
        <v>8</v>
      </c>
      <c r="D127" t="s">
        <v>112</v>
      </c>
      <c r="E127" t="s">
        <v>646</v>
      </c>
      <c r="F127" s="23">
        <v>2.8</v>
      </c>
      <c r="G127" s="23"/>
      <c r="H127" s="1">
        <v>46274</v>
      </c>
      <c r="I127" t="s">
        <v>893</v>
      </c>
      <c r="J127" t="s">
        <v>647</v>
      </c>
    </row>
    <row r="128" spans="1:10" x14ac:dyDescent="0.25">
      <c r="A128" t="s">
        <v>190</v>
      </c>
      <c r="B128" s="1">
        <v>46197</v>
      </c>
      <c r="C128" t="s">
        <v>8</v>
      </c>
      <c r="D128" t="s">
        <v>28</v>
      </c>
      <c r="E128" t="s">
        <v>220</v>
      </c>
      <c r="F128" s="23">
        <v>71</v>
      </c>
      <c r="G128" s="23"/>
      <c r="H128" s="1">
        <v>46213</v>
      </c>
      <c r="I128" t="s">
        <v>893</v>
      </c>
      <c r="J128" t="s">
        <v>221</v>
      </c>
    </row>
    <row r="129" spans="1:10" x14ac:dyDescent="0.25">
      <c r="A129" t="s">
        <v>184</v>
      </c>
      <c r="B129" s="1">
        <v>46183</v>
      </c>
      <c r="C129" t="s">
        <v>8</v>
      </c>
      <c r="D129" t="s">
        <v>28</v>
      </c>
      <c r="E129" t="s">
        <v>257</v>
      </c>
      <c r="F129" s="23">
        <v>274.5</v>
      </c>
      <c r="G129" s="23"/>
      <c r="H129" s="1">
        <v>46220</v>
      </c>
      <c r="I129" t="s">
        <v>893</v>
      </c>
      <c r="J129" t="s">
        <v>258</v>
      </c>
    </row>
    <row r="130" spans="1:10" x14ac:dyDescent="0.25">
      <c r="A130" t="s">
        <v>204</v>
      </c>
      <c r="B130" s="1">
        <v>46176</v>
      </c>
      <c r="C130" t="s">
        <v>8</v>
      </c>
      <c r="D130" t="s">
        <v>28</v>
      </c>
      <c r="E130" t="s">
        <v>335</v>
      </c>
      <c r="F130" s="23">
        <v>340</v>
      </c>
      <c r="G130" s="23"/>
      <c r="H130" s="1">
        <v>46228</v>
      </c>
      <c r="I130" t="s">
        <v>893</v>
      </c>
      <c r="J130" t="s">
        <v>336</v>
      </c>
    </row>
    <row r="131" spans="1:10" x14ac:dyDescent="0.25">
      <c r="A131" t="s">
        <v>233</v>
      </c>
      <c r="B131" s="1">
        <v>46185</v>
      </c>
      <c r="C131" t="s">
        <v>8</v>
      </c>
      <c r="D131" t="s">
        <v>28</v>
      </c>
      <c r="E131" t="s">
        <v>369</v>
      </c>
      <c r="F131" s="23">
        <v>70</v>
      </c>
      <c r="G131" s="23"/>
      <c r="H131" s="1">
        <v>46233</v>
      </c>
      <c r="I131" t="s">
        <v>893</v>
      </c>
      <c r="J131" t="s">
        <v>370</v>
      </c>
    </row>
    <row r="132" spans="1:10" x14ac:dyDescent="0.25">
      <c r="A132" t="s">
        <v>115</v>
      </c>
      <c r="B132" s="1">
        <v>46246</v>
      </c>
      <c r="C132" t="s">
        <v>8</v>
      </c>
      <c r="D132" t="s">
        <v>28</v>
      </c>
      <c r="E132" t="s">
        <v>754</v>
      </c>
      <c r="F132" s="23">
        <v>415</v>
      </c>
      <c r="G132" s="23"/>
      <c r="H132" s="1">
        <v>46246</v>
      </c>
      <c r="I132" t="s">
        <v>893</v>
      </c>
      <c r="J132" t="s">
        <v>130</v>
      </c>
    </row>
    <row r="133" spans="1:10" x14ac:dyDescent="0.25">
      <c r="A133" t="s">
        <v>147</v>
      </c>
      <c r="B133" s="1">
        <v>46246</v>
      </c>
      <c r="C133" t="s">
        <v>8</v>
      </c>
      <c r="D133" t="s">
        <v>28</v>
      </c>
      <c r="E133" t="s">
        <v>801</v>
      </c>
      <c r="F133" s="23">
        <v>15</v>
      </c>
      <c r="G133" s="23"/>
      <c r="H133" s="1">
        <v>46246</v>
      </c>
      <c r="I133" t="s">
        <v>893</v>
      </c>
      <c r="J133" t="s">
        <v>802</v>
      </c>
    </row>
    <row r="134" spans="1:10" x14ac:dyDescent="0.25">
      <c r="A134" t="s">
        <v>204</v>
      </c>
      <c r="B134" s="1">
        <v>46219</v>
      </c>
      <c r="C134" t="s">
        <v>8</v>
      </c>
      <c r="D134" t="s">
        <v>240</v>
      </c>
      <c r="E134" t="s">
        <v>319</v>
      </c>
      <c r="F134" s="23">
        <v>64</v>
      </c>
      <c r="G134" s="23"/>
      <c r="H134" s="1">
        <v>46227</v>
      </c>
      <c r="I134" t="s">
        <v>893</v>
      </c>
      <c r="J134" t="s">
        <v>320</v>
      </c>
    </row>
    <row r="135" spans="1:10" x14ac:dyDescent="0.25">
      <c r="A135" t="s">
        <v>180</v>
      </c>
      <c r="B135" s="1">
        <v>46233</v>
      </c>
      <c r="C135" t="s">
        <v>8</v>
      </c>
      <c r="D135" t="s">
        <v>361</v>
      </c>
      <c r="E135" t="s">
        <v>479</v>
      </c>
      <c r="F135" s="23">
        <v>40</v>
      </c>
      <c r="G135" s="23"/>
      <c r="H135" s="1">
        <v>46241</v>
      </c>
      <c r="I135" t="s">
        <v>893</v>
      </c>
      <c r="J135" t="s">
        <v>480</v>
      </c>
    </row>
    <row r="136" spans="1:10" x14ac:dyDescent="0.25">
      <c r="A136" t="s">
        <v>180</v>
      </c>
      <c r="B136" s="1">
        <v>46234</v>
      </c>
      <c r="C136" t="s">
        <v>8</v>
      </c>
      <c r="D136" t="s">
        <v>361</v>
      </c>
      <c r="E136" t="s">
        <v>481</v>
      </c>
      <c r="F136" s="23">
        <v>150</v>
      </c>
      <c r="G136" s="23"/>
      <c r="H136" s="1">
        <v>46241</v>
      </c>
      <c r="I136" t="s">
        <v>893</v>
      </c>
      <c r="J136" t="s">
        <v>482</v>
      </c>
    </row>
    <row r="137" spans="1:10" x14ac:dyDescent="0.25">
      <c r="A137" t="s">
        <v>446</v>
      </c>
      <c r="B137" s="1">
        <v>46238</v>
      </c>
      <c r="C137" t="s">
        <v>8</v>
      </c>
      <c r="D137" t="s">
        <v>361</v>
      </c>
      <c r="E137" t="s">
        <v>579</v>
      </c>
      <c r="F137" s="23">
        <v>60</v>
      </c>
      <c r="G137" s="23"/>
      <c r="H137" s="1">
        <v>46255</v>
      </c>
      <c r="I137" t="s">
        <v>893</v>
      </c>
      <c r="J137" t="s">
        <v>580</v>
      </c>
    </row>
    <row r="138" spans="1:10" x14ac:dyDescent="0.25">
      <c r="A138" t="s">
        <v>467</v>
      </c>
      <c r="B138" s="1">
        <v>46241</v>
      </c>
      <c r="C138" t="s">
        <v>8</v>
      </c>
      <c r="D138" t="s">
        <v>648</v>
      </c>
      <c r="E138" t="s">
        <v>649</v>
      </c>
      <c r="F138" s="23">
        <v>60</v>
      </c>
      <c r="G138" s="23"/>
      <c r="H138" s="1">
        <v>46274</v>
      </c>
      <c r="I138" t="s">
        <v>893</v>
      </c>
      <c r="J138" t="s">
        <v>650</v>
      </c>
    </row>
    <row r="139" spans="1:10" x14ac:dyDescent="0.25">
      <c r="A139" t="s">
        <v>190</v>
      </c>
      <c r="B139" s="1">
        <v>46171</v>
      </c>
      <c r="C139" t="s">
        <v>8</v>
      </c>
      <c r="D139" t="s">
        <v>32</v>
      </c>
      <c r="E139" t="s">
        <v>191</v>
      </c>
      <c r="F139" s="23">
        <v>254</v>
      </c>
      <c r="G139" s="23"/>
      <c r="H139" s="1">
        <v>46206</v>
      </c>
      <c r="I139" t="s">
        <v>893</v>
      </c>
      <c r="J139" t="s">
        <v>192</v>
      </c>
    </row>
    <row r="140" spans="1:10" x14ac:dyDescent="0.25">
      <c r="A140" t="s">
        <v>184</v>
      </c>
      <c r="B140" s="1">
        <v>46176</v>
      </c>
      <c r="C140" t="s">
        <v>8</v>
      </c>
      <c r="D140" t="s">
        <v>32</v>
      </c>
      <c r="E140" t="s">
        <v>208</v>
      </c>
      <c r="F140" s="23">
        <v>80</v>
      </c>
      <c r="G140" s="23"/>
      <c r="H140" s="1">
        <v>46211</v>
      </c>
      <c r="I140" t="s">
        <v>893</v>
      </c>
      <c r="J140" t="s">
        <v>209</v>
      </c>
    </row>
    <row r="141" spans="1:10" x14ac:dyDescent="0.25">
      <c r="A141" t="s">
        <v>215</v>
      </c>
      <c r="B141" s="1">
        <v>46205</v>
      </c>
      <c r="C141" t="s">
        <v>8</v>
      </c>
      <c r="D141" t="s">
        <v>32</v>
      </c>
      <c r="E141" t="s">
        <v>222</v>
      </c>
      <c r="F141" s="23">
        <v>94</v>
      </c>
      <c r="G141" s="23"/>
      <c r="H141" s="1">
        <v>46213</v>
      </c>
      <c r="I141" t="s">
        <v>893</v>
      </c>
      <c r="J141" t="s">
        <v>223</v>
      </c>
    </row>
    <row r="142" spans="1:10" x14ac:dyDescent="0.25">
      <c r="A142" t="s">
        <v>204</v>
      </c>
      <c r="B142" s="1">
        <v>46183</v>
      </c>
      <c r="C142" t="s">
        <v>8</v>
      </c>
      <c r="D142" t="s">
        <v>32</v>
      </c>
      <c r="E142" t="s">
        <v>231</v>
      </c>
      <c r="F142" s="23">
        <v>80</v>
      </c>
      <c r="G142" s="23"/>
      <c r="H142" s="1">
        <v>46215</v>
      </c>
      <c r="I142" t="s">
        <v>893</v>
      </c>
      <c r="J142" t="s">
        <v>232</v>
      </c>
    </row>
    <row r="143" spans="1:10" x14ac:dyDescent="0.25">
      <c r="A143" t="s">
        <v>204</v>
      </c>
      <c r="B143" s="1">
        <v>46211</v>
      </c>
      <c r="C143" t="s">
        <v>8</v>
      </c>
      <c r="D143" t="s">
        <v>32</v>
      </c>
      <c r="E143" t="s">
        <v>259</v>
      </c>
      <c r="F143" s="23">
        <v>94</v>
      </c>
      <c r="G143" s="23"/>
      <c r="H143" s="1">
        <v>46220</v>
      </c>
      <c r="I143" t="s">
        <v>893</v>
      </c>
      <c r="J143" t="s">
        <v>260</v>
      </c>
    </row>
    <row r="144" spans="1:10" x14ac:dyDescent="0.25">
      <c r="A144" t="s">
        <v>290</v>
      </c>
      <c r="B144" s="1">
        <v>46183</v>
      </c>
      <c r="C144" t="s">
        <v>8</v>
      </c>
      <c r="D144" t="s">
        <v>32</v>
      </c>
      <c r="E144" t="s">
        <v>321</v>
      </c>
      <c r="F144" s="23">
        <v>87</v>
      </c>
      <c r="G144" s="23"/>
      <c r="H144" s="1">
        <v>46227</v>
      </c>
      <c r="I144" t="s">
        <v>893</v>
      </c>
      <c r="J144" t="s">
        <v>322</v>
      </c>
    </row>
    <row r="145" spans="1:10" x14ac:dyDescent="0.25">
      <c r="A145" t="s">
        <v>212</v>
      </c>
      <c r="B145" s="1">
        <v>46183</v>
      </c>
      <c r="C145" t="s">
        <v>8</v>
      </c>
      <c r="D145" t="s">
        <v>32</v>
      </c>
      <c r="E145" t="s">
        <v>323</v>
      </c>
      <c r="F145" s="23">
        <v>167</v>
      </c>
      <c r="G145" s="23"/>
      <c r="H145" s="1">
        <v>46227</v>
      </c>
      <c r="I145" t="s">
        <v>893</v>
      </c>
      <c r="J145" t="s">
        <v>324</v>
      </c>
    </row>
    <row r="146" spans="1:10" x14ac:dyDescent="0.25">
      <c r="A146" t="s">
        <v>309</v>
      </c>
      <c r="B146" s="1">
        <v>46218</v>
      </c>
      <c r="C146" t="s">
        <v>8</v>
      </c>
      <c r="D146" t="s">
        <v>32</v>
      </c>
      <c r="E146" t="s">
        <v>325</v>
      </c>
      <c r="F146" s="23">
        <v>174</v>
      </c>
      <c r="G146" s="23"/>
      <c r="H146" s="1">
        <v>46227</v>
      </c>
      <c r="I146" t="s">
        <v>893</v>
      </c>
      <c r="J146" t="s">
        <v>326</v>
      </c>
    </row>
    <row r="147" spans="1:10" x14ac:dyDescent="0.25">
      <c r="A147" t="s">
        <v>198</v>
      </c>
      <c r="B147" s="1">
        <v>46181</v>
      </c>
      <c r="C147" t="s">
        <v>8</v>
      </c>
      <c r="D147" t="s">
        <v>32</v>
      </c>
      <c r="E147" t="s">
        <v>460</v>
      </c>
      <c r="F147" s="23">
        <v>80</v>
      </c>
      <c r="G147" s="23"/>
      <c r="H147" s="1">
        <v>46239</v>
      </c>
      <c r="I147" t="s">
        <v>893</v>
      </c>
      <c r="J147" t="s">
        <v>461</v>
      </c>
    </row>
    <row r="148" spans="1:10" x14ac:dyDescent="0.25">
      <c r="A148" t="s">
        <v>446</v>
      </c>
      <c r="B148" s="1">
        <v>46238</v>
      </c>
      <c r="C148" t="s">
        <v>8</v>
      </c>
      <c r="D148" t="s">
        <v>32</v>
      </c>
      <c r="E148" t="s">
        <v>581</v>
      </c>
      <c r="F148" s="23">
        <v>247</v>
      </c>
      <c r="G148" s="23"/>
      <c r="H148" s="1">
        <v>46255</v>
      </c>
      <c r="I148" t="s">
        <v>893</v>
      </c>
      <c r="J148" t="s">
        <v>582</v>
      </c>
    </row>
    <row r="149" spans="1:10" x14ac:dyDescent="0.25">
      <c r="A149" t="s">
        <v>348</v>
      </c>
      <c r="B149" s="1">
        <v>46245</v>
      </c>
      <c r="C149" t="s">
        <v>8</v>
      </c>
      <c r="D149" t="s">
        <v>32</v>
      </c>
      <c r="E149" t="s">
        <v>720</v>
      </c>
      <c r="F149" s="23">
        <v>80</v>
      </c>
      <c r="G149" s="23"/>
      <c r="H149" s="1">
        <v>46262</v>
      </c>
      <c r="I149" t="s">
        <v>893</v>
      </c>
      <c r="J149" t="s">
        <v>721</v>
      </c>
    </row>
    <row r="150" spans="1:10" x14ac:dyDescent="0.25">
      <c r="A150" t="s">
        <v>233</v>
      </c>
      <c r="B150" s="1">
        <v>46233</v>
      </c>
      <c r="C150" t="s">
        <v>8</v>
      </c>
      <c r="D150" t="s">
        <v>234</v>
      </c>
      <c r="E150" t="s">
        <v>235</v>
      </c>
      <c r="F150" s="23">
        <v>255</v>
      </c>
      <c r="G150" s="23"/>
      <c r="H150" s="1">
        <v>46215</v>
      </c>
      <c r="I150" t="s">
        <v>893</v>
      </c>
      <c r="J150" t="s">
        <v>236</v>
      </c>
    </row>
    <row r="151" spans="1:10" x14ac:dyDescent="0.25">
      <c r="A151" t="s">
        <v>180</v>
      </c>
      <c r="B151" s="1">
        <v>46246</v>
      </c>
      <c r="C151" t="s">
        <v>8</v>
      </c>
      <c r="D151" t="s">
        <v>234</v>
      </c>
      <c r="E151" t="s">
        <v>803</v>
      </c>
      <c r="F151" s="23">
        <v>203.5</v>
      </c>
      <c r="G151" s="23"/>
      <c r="H151" s="1">
        <v>46246</v>
      </c>
      <c r="I151" t="s">
        <v>893</v>
      </c>
      <c r="J151" t="s">
        <v>804</v>
      </c>
    </row>
    <row r="152" spans="1:10" x14ac:dyDescent="0.25">
      <c r="A152" t="s">
        <v>180</v>
      </c>
      <c r="B152" s="1">
        <v>46246</v>
      </c>
      <c r="C152" t="s">
        <v>8</v>
      </c>
      <c r="D152" t="s">
        <v>234</v>
      </c>
      <c r="E152" t="s">
        <v>805</v>
      </c>
      <c r="F152" s="23">
        <v>170</v>
      </c>
      <c r="G152" s="23"/>
      <c r="H152" s="1">
        <v>46246</v>
      </c>
      <c r="I152" t="s">
        <v>893</v>
      </c>
      <c r="J152" t="s">
        <v>806</v>
      </c>
    </row>
    <row r="153" spans="1:10" x14ac:dyDescent="0.25">
      <c r="A153" t="s">
        <v>180</v>
      </c>
      <c r="B153" s="1">
        <v>46246</v>
      </c>
      <c r="C153" t="s">
        <v>8</v>
      </c>
      <c r="D153" t="s">
        <v>234</v>
      </c>
      <c r="E153" t="s">
        <v>807</v>
      </c>
      <c r="F153" s="23">
        <v>140</v>
      </c>
      <c r="G153" s="23"/>
      <c r="H153" s="1">
        <v>46246</v>
      </c>
      <c r="I153" t="s">
        <v>893</v>
      </c>
      <c r="J153" t="s">
        <v>808</v>
      </c>
    </row>
    <row r="154" spans="1:10" x14ac:dyDescent="0.25">
      <c r="A154" t="s">
        <v>180</v>
      </c>
      <c r="B154" s="1">
        <v>46246</v>
      </c>
      <c r="C154" t="s">
        <v>8</v>
      </c>
      <c r="D154" t="s">
        <v>234</v>
      </c>
      <c r="E154" t="s">
        <v>809</v>
      </c>
      <c r="F154" s="23">
        <v>140</v>
      </c>
      <c r="G154" s="23"/>
      <c r="H154" s="1">
        <v>46246</v>
      </c>
      <c r="I154" t="s">
        <v>893</v>
      </c>
      <c r="J154" t="s">
        <v>810</v>
      </c>
    </row>
    <row r="155" spans="1:10" x14ac:dyDescent="0.25">
      <c r="A155" t="s">
        <v>180</v>
      </c>
      <c r="B155" s="1">
        <v>46246</v>
      </c>
      <c r="C155" t="s">
        <v>8</v>
      </c>
      <c r="D155" t="s">
        <v>234</v>
      </c>
      <c r="E155" t="s">
        <v>811</v>
      </c>
      <c r="F155" s="23">
        <v>254.64</v>
      </c>
      <c r="G155" s="23"/>
      <c r="H155" s="1">
        <v>46246</v>
      </c>
      <c r="I155" t="s">
        <v>893</v>
      </c>
      <c r="J155" t="s">
        <v>812</v>
      </c>
    </row>
    <row r="156" spans="1:10" x14ac:dyDescent="0.25">
      <c r="A156" t="s">
        <v>212</v>
      </c>
      <c r="B156" s="1">
        <v>46184</v>
      </c>
      <c r="C156" t="s">
        <v>8</v>
      </c>
      <c r="D156" t="s">
        <v>163</v>
      </c>
      <c r="E156" t="s">
        <v>285</v>
      </c>
      <c r="F156" s="23">
        <v>354</v>
      </c>
      <c r="G156" s="23"/>
      <c r="H156" s="1">
        <v>46223</v>
      </c>
      <c r="I156" t="s">
        <v>893</v>
      </c>
      <c r="J156" t="s">
        <v>286</v>
      </c>
    </row>
    <row r="157" spans="1:10" x14ac:dyDescent="0.25">
      <c r="A157" t="s">
        <v>290</v>
      </c>
      <c r="B157" s="1">
        <v>46185</v>
      </c>
      <c r="C157" t="s">
        <v>8</v>
      </c>
      <c r="D157" t="s">
        <v>163</v>
      </c>
      <c r="E157" t="s">
        <v>295</v>
      </c>
      <c r="F157" s="23">
        <v>306.5</v>
      </c>
      <c r="G157" s="23"/>
      <c r="H157" s="1">
        <v>46225</v>
      </c>
      <c r="I157" t="s">
        <v>893</v>
      </c>
      <c r="J157" t="s">
        <v>296</v>
      </c>
    </row>
    <row r="158" spans="1:10" x14ac:dyDescent="0.25">
      <c r="A158" t="s">
        <v>180</v>
      </c>
      <c r="B158" s="1">
        <v>46241</v>
      </c>
      <c r="C158" t="s">
        <v>8</v>
      </c>
      <c r="D158" t="s">
        <v>263</v>
      </c>
      <c r="E158" t="s">
        <v>486</v>
      </c>
      <c r="F158" s="23"/>
      <c r="G158" s="23">
        <v>22.4</v>
      </c>
      <c r="H158" s="1">
        <v>46241</v>
      </c>
      <c r="I158" t="s">
        <v>893</v>
      </c>
      <c r="J158" t="s">
        <v>487</v>
      </c>
    </row>
    <row r="159" spans="1:10" x14ac:dyDescent="0.25">
      <c r="A159" t="s">
        <v>180</v>
      </c>
      <c r="B159" s="1">
        <v>46241</v>
      </c>
      <c r="C159" t="s">
        <v>8</v>
      </c>
      <c r="D159" t="s">
        <v>263</v>
      </c>
      <c r="E159" t="s">
        <v>488</v>
      </c>
      <c r="F159" s="23"/>
      <c r="G159" s="23">
        <v>22.4</v>
      </c>
      <c r="H159" s="1">
        <v>46241</v>
      </c>
      <c r="I159" t="s">
        <v>893</v>
      </c>
      <c r="J159" t="s">
        <v>487</v>
      </c>
    </row>
    <row r="160" spans="1:10" x14ac:dyDescent="0.25">
      <c r="A160" t="s">
        <v>180</v>
      </c>
      <c r="B160" s="1">
        <v>46241</v>
      </c>
      <c r="C160" t="s">
        <v>8</v>
      </c>
      <c r="D160" t="s">
        <v>263</v>
      </c>
      <c r="E160" t="s">
        <v>489</v>
      </c>
      <c r="F160" s="23"/>
      <c r="G160" s="23">
        <v>13.6</v>
      </c>
      <c r="H160" s="1">
        <v>46241</v>
      </c>
      <c r="I160" t="s">
        <v>893</v>
      </c>
      <c r="J160" t="s">
        <v>490</v>
      </c>
    </row>
    <row r="161" spans="1:10" x14ac:dyDescent="0.25">
      <c r="A161" t="s">
        <v>180</v>
      </c>
      <c r="B161" s="1">
        <v>46241</v>
      </c>
      <c r="C161" t="s">
        <v>8</v>
      </c>
      <c r="D161" t="s">
        <v>263</v>
      </c>
      <c r="E161" t="s">
        <v>491</v>
      </c>
      <c r="F161" s="23"/>
      <c r="G161" s="23">
        <v>13.6</v>
      </c>
      <c r="H161" s="1">
        <v>46241</v>
      </c>
      <c r="I161" t="s">
        <v>893</v>
      </c>
      <c r="J161" t="s">
        <v>490</v>
      </c>
    </row>
    <row r="162" spans="1:10" x14ac:dyDescent="0.25">
      <c r="A162" t="s">
        <v>180</v>
      </c>
      <c r="B162" s="1">
        <v>46241</v>
      </c>
      <c r="C162" t="s">
        <v>8</v>
      </c>
      <c r="D162" t="s">
        <v>263</v>
      </c>
      <c r="E162" t="s">
        <v>492</v>
      </c>
      <c r="F162" s="23"/>
      <c r="G162" s="23">
        <v>5.9</v>
      </c>
      <c r="H162" s="1">
        <v>46241</v>
      </c>
      <c r="I162" t="s">
        <v>893</v>
      </c>
      <c r="J162" t="s">
        <v>493</v>
      </c>
    </row>
    <row r="163" spans="1:10" x14ac:dyDescent="0.25">
      <c r="A163" t="s">
        <v>180</v>
      </c>
      <c r="B163" s="1">
        <v>46241</v>
      </c>
      <c r="C163" t="s">
        <v>8</v>
      </c>
      <c r="D163" t="s">
        <v>263</v>
      </c>
      <c r="E163" t="s">
        <v>494</v>
      </c>
      <c r="F163" s="23"/>
      <c r="G163" s="23">
        <v>5.9</v>
      </c>
      <c r="H163" s="1">
        <v>46241</v>
      </c>
      <c r="I163" t="s">
        <v>893</v>
      </c>
      <c r="J163" t="s">
        <v>493</v>
      </c>
    </row>
    <row r="164" spans="1:10" x14ac:dyDescent="0.25">
      <c r="A164" t="s">
        <v>215</v>
      </c>
      <c r="B164" s="1">
        <v>46246</v>
      </c>
      <c r="C164" t="s">
        <v>8</v>
      </c>
      <c r="D164" t="s">
        <v>263</v>
      </c>
      <c r="E164" t="s">
        <v>755</v>
      </c>
      <c r="F164" s="23">
        <v>343.5</v>
      </c>
      <c r="G164" s="23"/>
      <c r="H164" s="1">
        <v>46246</v>
      </c>
      <c r="I164" t="s">
        <v>893</v>
      </c>
      <c r="J164" t="s">
        <v>756</v>
      </c>
    </row>
    <row r="165" spans="1:10" x14ac:dyDescent="0.25">
      <c r="A165" t="s">
        <v>215</v>
      </c>
      <c r="B165" s="1">
        <v>46246</v>
      </c>
      <c r="C165" t="s">
        <v>8</v>
      </c>
      <c r="D165" t="s">
        <v>263</v>
      </c>
      <c r="E165" t="s">
        <v>757</v>
      </c>
      <c r="F165" s="23">
        <v>343.5</v>
      </c>
      <c r="G165" s="23"/>
      <c r="H165" s="1">
        <v>46246</v>
      </c>
      <c r="I165" t="s">
        <v>893</v>
      </c>
      <c r="J165" t="s">
        <v>756</v>
      </c>
    </row>
    <row r="166" spans="1:10" x14ac:dyDescent="0.25">
      <c r="A166" t="s">
        <v>152</v>
      </c>
      <c r="B166" s="1">
        <v>46246</v>
      </c>
      <c r="C166" t="s">
        <v>8</v>
      </c>
      <c r="D166" t="s">
        <v>263</v>
      </c>
      <c r="E166" t="s">
        <v>758</v>
      </c>
      <c r="F166" s="23"/>
      <c r="G166" s="23">
        <v>37.5</v>
      </c>
      <c r="H166" s="1">
        <v>46246</v>
      </c>
      <c r="I166" t="s">
        <v>893</v>
      </c>
      <c r="J166" t="s">
        <v>759</v>
      </c>
    </row>
    <row r="167" spans="1:10" x14ac:dyDescent="0.25">
      <c r="A167" t="s">
        <v>152</v>
      </c>
      <c r="B167" s="1">
        <v>46246</v>
      </c>
      <c r="C167" t="s">
        <v>8</v>
      </c>
      <c r="D167" t="s">
        <v>263</v>
      </c>
      <c r="E167" t="s">
        <v>760</v>
      </c>
      <c r="F167" s="23"/>
      <c r="G167" s="23">
        <v>37.5</v>
      </c>
      <c r="H167" s="1">
        <v>46246</v>
      </c>
      <c r="I167" t="s">
        <v>893</v>
      </c>
      <c r="J167" t="s">
        <v>759</v>
      </c>
    </row>
    <row r="168" spans="1:10" x14ac:dyDescent="0.25">
      <c r="A168" t="s">
        <v>147</v>
      </c>
      <c r="B168" s="1">
        <v>46246</v>
      </c>
      <c r="C168" t="s">
        <v>8</v>
      </c>
      <c r="D168" t="s">
        <v>263</v>
      </c>
      <c r="E168" t="s">
        <v>761</v>
      </c>
      <c r="F168" s="23"/>
      <c r="G168" s="23">
        <v>12.5</v>
      </c>
      <c r="H168" s="1">
        <v>46246</v>
      </c>
      <c r="I168" t="s">
        <v>893</v>
      </c>
      <c r="J168" t="s">
        <v>762</v>
      </c>
    </row>
    <row r="169" spans="1:10" x14ac:dyDescent="0.25">
      <c r="A169" t="s">
        <v>147</v>
      </c>
      <c r="B169" s="1">
        <v>46246</v>
      </c>
      <c r="C169" t="s">
        <v>8</v>
      </c>
      <c r="D169" t="s">
        <v>263</v>
      </c>
      <c r="E169" t="s">
        <v>763</v>
      </c>
      <c r="F169" s="23"/>
      <c r="G169" s="23">
        <v>12.5</v>
      </c>
      <c r="H169" s="1">
        <v>46246</v>
      </c>
      <c r="I169" t="s">
        <v>893</v>
      </c>
      <c r="J169" t="s">
        <v>762</v>
      </c>
    </row>
    <row r="170" spans="1:10" x14ac:dyDescent="0.25">
      <c r="A170" t="s">
        <v>309</v>
      </c>
      <c r="B170" s="1">
        <v>46218</v>
      </c>
      <c r="C170" t="s">
        <v>8</v>
      </c>
      <c r="D170" t="s">
        <v>386</v>
      </c>
      <c r="E170" t="s">
        <v>387</v>
      </c>
      <c r="F170" s="23">
        <v>185</v>
      </c>
      <c r="G170" s="23"/>
      <c r="H170" s="1">
        <v>46234</v>
      </c>
      <c r="I170" t="s">
        <v>893</v>
      </c>
      <c r="J170" t="s">
        <v>388</v>
      </c>
    </row>
    <row r="171" spans="1:10" x14ac:dyDescent="0.25">
      <c r="A171" t="s">
        <v>309</v>
      </c>
      <c r="B171" s="1">
        <v>46218</v>
      </c>
      <c r="C171" t="s">
        <v>8</v>
      </c>
      <c r="D171" t="s">
        <v>386</v>
      </c>
      <c r="E171" t="s">
        <v>389</v>
      </c>
      <c r="F171" s="23">
        <v>185</v>
      </c>
      <c r="G171" s="23"/>
      <c r="H171" s="1">
        <v>46234</v>
      </c>
      <c r="I171" t="s">
        <v>893</v>
      </c>
      <c r="J171" t="s">
        <v>388</v>
      </c>
    </row>
    <row r="172" spans="1:10" x14ac:dyDescent="0.25">
      <c r="A172" t="s">
        <v>446</v>
      </c>
      <c r="B172" s="1">
        <v>46238</v>
      </c>
      <c r="C172" t="s">
        <v>8</v>
      </c>
      <c r="D172" t="s">
        <v>386</v>
      </c>
      <c r="E172" t="s">
        <v>583</v>
      </c>
      <c r="F172" s="23">
        <v>260.25</v>
      </c>
      <c r="G172" s="23"/>
      <c r="H172" s="1">
        <v>46255</v>
      </c>
      <c r="I172" t="s">
        <v>893</v>
      </c>
      <c r="J172" t="s">
        <v>584</v>
      </c>
    </row>
    <row r="173" spans="1:10" x14ac:dyDescent="0.25">
      <c r="A173" t="s">
        <v>446</v>
      </c>
      <c r="B173" s="1">
        <v>46238</v>
      </c>
      <c r="C173" t="s">
        <v>8</v>
      </c>
      <c r="D173" t="s">
        <v>386</v>
      </c>
      <c r="E173" t="s">
        <v>585</v>
      </c>
      <c r="F173" s="23">
        <v>260.25</v>
      </c>
      <c r="G173" s="23"/>
      <c r="H173" s="1">
        <v>46255</v>
      </c>
      <c r="I173" t="s">
        <v>893</v>
      </c>
      <c r="J173" t="s">
        <v>584</v>
      </c>
    </row>
    <row r="174" spans="1:10" x14ac:dyDescent="0.25">
      <c r="A174" t="s">
        <v>147</v>
      </c>
      <c r="B174" s="1">
        <v>46177</v>
      </c>
      <c r="C174" t="s">
        <v>8</v>
      </c>
      <c r="D174" t="s">
        <v>9</v>
      </c>
      <c r="E174" t="s">
        <v>195</v>
      </c>
      <c r="F174" s="23">
        <v>157.5</v>
      </c>
      <c r="G174" s="23"/>
      <c r="H174" s="1">
        <v>46209</v>
      </c>
      <c r="I174" t="s">
        <v>893</v>
      </c>
      <c r="J174" t="s">
        <v>196</v>
      </c>
    </row>
    <row r="175" spans="1:10" x14ac:dyDescent="0.25">
      <c r="A175" t="s">
        <v>190</v>
      </c>
      <c r="B175" s="1">
        <v>46190</v>
      </c>
      <c r="C175" t="s">
        <v>8</v>
      </c>
      <c r="D175" t="s">
        <v>9</v>
      </c>
      <c r="E175" t="s">
        <v>224</v>
      </c>
      <c r="F175" s="23">
        <v>140</v>
      </c>
      <c r="G175" s="23"/>
      <c r="H175" s="1">
        <v>46213</v>
      </c>
      <c r="I175" t="s">
        <v>893</v>
      </c>
      <c r="J175" t="s">
        <v>225</v>
      </c>
    </row>
    <row r="176" spans="1:10" x14ac:dyDescent="0.25">
      <c r="A176" t="s">
        <v>215</v>
      </c>
      <c r="B176" s="1">
        <v>46205</v>
      </c>
      <c r="C176" t="s">
        <v>8</v>
      </c>
      <c r="D176" t="s">
        <v>9</v>
      </c>
      <c r="E176" t="s">
        <v>264</v>
      </c>
      <c r="F176" s="23">
        <v>175</v>
      </c>
      <c r="G176" s="23"/>
      <c r="H176" s="1">
        <v>46220</v>
      </c>
      <c r="I176" t="s">
        <v>893</v>
      </c>
      <c r="J176" t="s">
        <v>265</v>
      </c>
    </row>
    <row r="177" spans="1:10" x14ac:dyDescent="0.25">
      <c r="A177" t="s">
        <v>184</v>
      </c>
      <c r="B177" s="1">
        <v>46176</v>
      </c>
      <c r="C177" t="s">
        <v>8</v>
      </c>
      <c r="D177" t="s">
        <v>9</v>
      </c>
      <c r="E177" t="s">
        <v>283</v>
      </c>
      <c r="F177" s="23">
        <v>262.5</v>
      </c>
      <c r="G177" s="23"/>
      <c r="H177" s="1">
        <v>46222</v>
      </c>
      <c r="I177" t="s">
        <v>893</v>
      </c>
      <c r="J177" t="s">
        <v>284</v>
      </c>
    </row>
    <row r="178" spans="1:10" x14ac:dyDescent="0.25">
      <c r="A178" t="s">
        <v>204</v>
      </c>
      <c r="B178" s="1">
        <v>46175</v>
      </c>
      <c r="C178" t="s">
        <v>8</v>
      </c>
      <c r="D178" t="s">
        <v>9</v>
      </c>
      <c r="E178" t="s">
        <v>337</v>
      </c>
      <c r="F178" s="23">
        <v>157.5</v>
      </c>
      <c r="G178" s="23"/>
      <c r="H178" s="1">
        <v>46228</v>
      </c>
      <c r="I178" t="s">
        <v>893</v>
      </c>
      <c r="J178" t="s">
        <v>338</v>
      </c>
    </row>
    <row r="179" spans="1:10" x14ac:dyDescent="0.25">
      <c r="A179" t="s">
        <v>233</v>
      </c>
      <c r="B179" s="1">
        <v>46177</v>
      </c>
      <c r="C179" t="s">
        <v>8</v>
      </c>
      <c r="D179" t="s">
        <v>9</v>
      </c>
      <c r="E179" t="s">
        <v>344</v>
      </c>
      <c r="F179" s="23">
        <v>262.5</v>
      </c>
      <c r="G179" s="23"/>
      <c r="H179" s="1">
        <v>46230</v>
      </c>
      <c r="I179" t="s">
        <v>893</v>
      </c>
      <c r="J179" t="s">
        <v>345</v>
      </c>
    </row>
    <row r="180" spans="1:10" x14ac:dyDescent="0.25">
      <c r="A180" t="s">
        <v>309</v>
      </c>
      <c r="B180" s="1">
        <v>46218</v>
      </c>
      <c r="C180" t="s">
        <v>8</v>
      </c>
      <c r="D180" t="s">
        <v>9</v>
      </c>
      <c r="E180" t="s">
        <v>390</v>
      </c>
      <c r="F180" s="23">
        <v>157.5</v>
      </c>
      <c r="G180" s="23"/>
      <c r="H180" s="1">
        <v>46234</v>
      </c>
      <c r="I180" t="s">
        <v>893</v>
      </c>
      <c r="J180" t="s">
        <v>391</v>
      </c>
    </row>
    <row r="181" spans="1:10" x14ac:dyDescent="0.25">
      <c r="A181" t="s">
        <v>212</v>
      </c>
      <c r="B181" s="1">
        <v>46178</v>
      </c>
      <c r="C181" t="s">
        <v>8</v>
      </c>
      <c r="D181" t="s">
        <v>9</v>
      </c>
      <c r="E181" t="s">
        <v>405</v>
      </c>
      <c r="F181" s="23">
        <v>227.5</v>
      </c>
      <c r="G181" s="23"/>
      <c r="H181" s="1">
        <v>46235</v>
      </c>
      <c r="I181" t="s">
        <v>893</v>
      </c>
      <c r="J181" t="s">
        <v>406</v>
      </c>
    </row>
    <row r="182" spans="1:10" x14ac:dyDescent="0.25">
      <c r="A182" t="s">
        <v>290</v>
      </c>
      <c r="B182" s="1">
        <v>46181</v>
      </c>
      <c r="C182" t="s">
        <v>8</v>
      </c>
      <c r="D182" t="s">
        <v>9</v>
      </c>
      <c r="E182" t="s">
        <v>465</v>
      </c>
      <c r="F182" s="23">
        <v>122.5</v>
      </c>
      <c r="G182" s="23"/>
      <c r="H182" s="1">
        <v>46240</v>
      </c>
      <c r="I182" t="s">
        <v>893</v>
      </c>
      <c r="J182" t="s">
        <v>466</v>
      </c>
    </row>
    <row r="183" spans="1:10" x14ac:dyDescent="0.25">
      <c r="A183" t="s">
        <v>462</v>
      </c>
      <c r="B183" s="1">
        <v>46218</v>
      </c>
      <c r="C183" t="s">
        <v>8</v>
      </c>
      <c r="D183" t="s">
        <v>9</v>
      </c>
      <c r="E183" t="s">
        <v>495</v>
      </c>
      <c r="F183" s="23">
        <v>227.5</v>
      </c>
      <c r="G183" s="23"/>
      <c r="H183" s="1">
        <v>46241</v>
      </c>
      <c r="I183" t="s">
        <v>893</v>
      </c>
      <c r="J183" t="s">
        <v>496</v>
      </c>
    </row>
    <row r="184" spans="1:10" x14ac:dyDescent="0.25">
      <c r="A184" t="s">
        <v>180</v>
      </c>
      <c r="B184" s="1">
        <v>46241</v>
      </c>
      <c r="C184" t="s">
        <v>8</v>
      </c>
      <c r="D184" t="s">
        <v>9</v>
      </c>
      <c r="E184" t="s">
        <v>497</v>
      </c>
      <c r="F184" s="23">
        <v>70</v>
      </c>
      <c r="G184" s="23"/>
      <c r="H184" s="1">
        <v>46241</v>
      </c>
      <c r="I184" t="s">
        <v>893</v>
      </c>
      <c r="J184" t="s">
        <v>498</v>
      </c>
    </row>
    <row r="185" spans="1:10" x14ac:dyDescent="0.25">
      <c r="A185" t="s">
        <v>180</v>
      </c>
      <c r="B185" s="1">
        <v>46241</v>
      </c>
      <c r="C185" t="s">
        <v>8</v>
      </c>
      <c r="D185" t="s">
        <v>9</v>
      </c>
      <c r="E185" t="s">
        <v>499</v>
      </c>
      <c r="F185" s="23">
        <v>35</v>
      </c>
      <c r="G185" s="23"/>
      <c r="H185" s="1">
        <v>46241</v>
      </c>
      <c r="I185" t="s">
        <v>893</v>
      </c>
      <c r="J185" t="s">
        <v>500</v>
      </c>
    </row>
    <row r="186" spans="1:10" x14ac:dyDescent="0.25">
      <c r="A186" t="s">
        <v>198</v>
      </c>
      <c r="B186" s="1">
        <v>46181</v>
      </c>
      <c r="C186" t="s">
        <v>8</v>
      </c>
      <c r="D186" t="s">
        <v>9</v>
      </c>
      <c r="E186" t="s">
        <v>550</v>
      </c>
      <c r="F186" s="23">
        <v>192.5</v>
      </c>
      <c r="G186" s="23"/>
      <c r="H186" s="1">
        <v>46250</v>
      </c>
      <c r="I186" t="s">
        <v>893</v>
      </c>
      <c r="J186" t="s">
        <v>551</v>
      </c>
    </row>
    <row r="187" spans="1:10" x14ac:dyDescent="0.25">
      <c r="A187" t="s">
        <v>287</v>
      </c>
      <c r="B187" s="1">
        <v>46238</v>
      </c>
      <c r="C187" t="s">
        <v>8</v>
      </c>
      <c r="D187" t="s">
        <v>9</v>
      </c>
      <c r="E187" t="s">
        <v>586</v>
      </c>
      <c r="F187" s="23">
        <v>17.5</v>
      </c>
      <c r="G187" s="23"/>
      <c r="H187" s="1">
        <v>46255</v>
      </c>
      <c r="I187" t="s">
        <v>893</v>
      </c>
      <c r="J187" t="s">
        <v>587</v>
      </c>
    </row>
    <row r="188" spans="1:10" x14ac:dyDescent="0.25">
      <c r="A188" t="s">
        <v>287</v>
      </c>
      <c r="B188" s="1">
        <v>46238</v>
      </c>
      <c r="C188" t="s">
        <v>8</v>
      </c>
      <c r="D188" t="s">
        <v>9</v>
      </c>
      <c r="E188" t="s">
        <v>588</v>
      </c>
      <c r="F188" s="23">
        <v>17.5</v>
      </c>
      <c r="G188" s="23"/>
      <c r="H188" s="1">
        <v>46255</v>
      </c>
      <c r="I188" t="s">
        <v>893</v>
      </c>
      <c r="J188" t="s">
        <v>589</v>
      </c>
    </row>
    <row r="189" spans="1:10" x14ac:dyDescent="0.25">
      <c r="A189" t="s">
        <v>446</v>
      </c>
      <c r="B189" s="1">
        <v>46238</v>
      </c>
      <c r="C189" t="s">
        <v>8</v>
      </c>
      <c r="D189" t="s">
        <v>9</v>
      </c>
      <c r="E189" t="s">
        <v>590</v>
      </c>
      <c r="F189" s="23">
        <v>192.5</v>
      </c>
      <c r="G189" s="23"/>
      <c r="H189" s="1">
        <v>46255</v>
      </c>
      <c r="I189" t="s">
        <v>893</v>
      </c>
      <c r="J189" t="s">
        <v>591</v>
      </c>
    </row>
    <row r="190" spans="1:10" x14ac:dyDescent="0.25">
      <c r="A190" t="s">
        <v>366</v>
      </c>
      <c r="B190" s="1">
        <v>46241</v>
      </c>
      <c r="C190" t="s">
        <v>8</v>
      </c>
      <c r="D190" t="s">
        <v>9</v>
      </c>
      <c r="E190" t="s">
        <v>606</v>
      </c>
      <c r="F190" s="23">
        <v>262.5</v>
      </c>
      <c r="G190" s="23"/>
      <c r="H190" s="1">
        <v>46262</v>
      </c>
      <c r="I190" t="s">
        <v>893</v>
      </c>
      <c r="J190" t="s">
        <v>607</v>
      </c>
    </row>
    <row r="191" spans="1:10" x14ac:dyDescent="0.25">
      <c r="A191" t="s">
        <v>348</v>
      </c>
      <c r="B191" s="1">
        <v>46245</v>
      </c>
      <c r="C191" t="s">
        <v>8</v>
      </c>
      <c r="D191" t="s">
        <v>9</v>
      </c>
      <c r="E191" t="s">
        <v>724</v>
      </c>
      <c r="F191" s="23">
        <v>245</v>
      </c>
      <c r="G191" s="23"/>
      <c r="H191" s="1">
        <v>46269</v>
      </c>
      <c r="I191" t="s">
        <v>893</v>
      </c>
      <c r="J191" t="s">
        <v>725</v>
      </c>
    </row>
    <row r="192" spans="1:10" x14ac:dyDescent="0.25">
      <c r="A192" t="s">
        <v>467</v>
      </c>
      <c r="B192" s="1">
        <v>46241</v>
      </c>
      <c r="C192" t="s">
        <v>8</v>
      </c>
      <c r="D192" t="s">
        <v>9</v>
      </c>
      <c r="E192" t="s">
        <v>651</v>
      </c>
      <c r="F192" s="23">
        <v>35</v>
      </c>
      <c r="G192" s="23"/>
      <c r="H192" s="1">
        <v>46274</v>
      </c>
      <c r="I192" t="s">
        <v>893</v>
      </c>
      <c r="J192" t="s">
        <v>652</v>
      </c>
    </row>
    <row r="193" spans="1:10" x14ac:dyDescent="0.25">
      <c r="A193" t="s">
        <v>554</v>
      </c>
      <c r="B193" s="1">
        <v>46248</v>
      </c>
      <c r="C193" t="s">
        <v>8</v>
      </c>
      <c r="D193" t="s">
        <v>9</v>
      </c>
      <c r="E193" t="s">
        <v>934</v>
      </c>
      <c r="F193" s="23">
        <v>262.5</v>
      </c>
      <c r="G193" s="23"/>
      <c r="H193" s="1">
        <v>46276</v>
      </c>
      <c r="I193" t="s">
        <v>893</v>
      </c>
      <c r="J193" t="s">
        <v>935</v>
      </c>
    </row>
    <row r="194" spans="1:10" x14ac:dyDescent="0.25">
      <c r="A194" t="s">
        <v>467</v>
      </c>
      <c r="B194" s="1">
        <v>46241</v>
      </c>
      <c r="C194" t="s">
        <v>8</v>
      </c>
      <c r="D194" t="s">
        <v>9</v>
      </c>
      <c r="E194" t="s">
        <v>683</v>
      </c>
      <c r="F194" s="23">
        <v>315</v>
      </c>
      <c r="G194" s="23"/>
      <c r="H194" s="1">
        <v>46278</v>
      </c>
      <c r="I194" t="s">
        <v>893</v>
      </c>
      <c r="J194" t="s">
        <v>684</v>
      </c>
    </row>
    <row r="195" spans="1:10" x14ac:dyDescent="0.25">
      <c r="A195" t="s">
        <v>233</v>
      </c>
      <c r="B195" s="1">
        <v>46177</v>
      </c>
      <c r="C195" t="s">
        <v>8</v>
      </c>
      <c r="D195" t="s">
        <v>339</v>
      </c>
      <c r="E195" t="s">
        <v>340</v>
      </c>
      <c r="F195" s="23">
        <v>144</v>
      </c>
      <c r="G195" s="23"/>
      <c r="H195" s="1">
        <v>46229</v>
      </c>
      <c r="I195" t="s">
        <v>893</v>
      </c>
      <c r="J195" t="s">
        <v>341</v>
      </c>
    </row>
    <row r="196" spans="1:10" x14ac:dyDescent="0.25">
      <c r="A196" t="s">
        <v>290</v>
      </c>
      <c r="B196" s="1">
        <v>46181</v>
      </c>
      <c r="C196" t="s">
        <v>8</v>
      </c>
      <c r="D196" t="s">
        <v>339</v>
      </c>
      <c r="E196" t="s">
        <v>501</v>
      </c>
      <c r="F196" s="23">
        <v>176</v>
      </c>
      <c r="G196" s="23"/>
      <c r="H196" s="1">
        <v>46241</v>
      </c>
      <c r="I196" t="s">
        <v>893</v>
      </c>
      <c r="J196" t="s">
        <v>502</v>
      </c>
    </row>
    <row r="197" spans="1:10" x14ac:dyDescent="0.25">
      <c r="A197" t="s">
        <v>462</v>
      </c>
      <c r="B197" s="1">
        <v>46203</v>
      </c>
      <c r="C197" t="s">
        <v>8</v>
      </c>
      <c r="D197" t="s">
        <v>339</v>
      </c>
      <c r="E197" t="s">
        <v>503</v>
      </c>
      <c r="F197" s="23">
        <v>304</v>
      </c>
      <c r="G197" s="23"/>
      <c r="H197" s="1">
        <v>46241</v>
      </c>
      <c r="I197" t="s">
        <v>893</v>
      </c>
      <c r="J197" t="s">
        <v>504</v>
      </c>
    </row>
    <row r="198" spans="1:10" x14ac:dyDescent="0.25">
      <c r="A198" t="s">
        <v>115</v>
      </c>
      <c r="B198" s="1">
        <v>46245</v>
      </c>
      <c r="C198" t="s">
        <v>8</v>
      </c>
      <c r="D198" t="s">
        <v>339</v>
      </c>
      <c r="E198" t="s">
        <v>764</v>
      </c>
      <c r="F198" s="23">
        <v>189</v>
      </c>
      <c r="G198" s="23"/>
      <c r="H198" s="1">
        <v>46245</v>
      </c>
      <c r="I198" t="s">
        <v>893</v>
      </c>
      <c r="J198" t="s">
        <v>765</v>
      </c>
    </row>
    <row r="199" spans="1:10" x14ac:dyDescent="0.25">
      <c r="A199" t="s">
        <v>348</v>
      </c>
      <c r="B199" s="1">
        <v>46247</v>
      </c>
      <c r="C199" t="s">
        <v>8</v>
      </c>
      <c r="D199" t="s">
        <v>339</v>
      </c>
      <c r="E199" t="s">
        <v>936</v>
      </c>
      <c r="F199" s="23"/>
      <c r="G199" s="23">
        <v>85</v>
      </c>
      <c r="H199" s="1">
        <v>46247</v>
      </c>
      <c r="I199" t="s">
        <v>893</v>
      </c>
      <c r="J199" t="s">
        <v>937</v>
      </c>
    </row>
    <row r="200" spans="1:10" x14ac:dyDescent="0.25">
      <c r="A200" t="s">
        <v>467</v>
      </c>
      <c r="B200" s="1">
        <v>46241</v>
      </c>
      <c r="C200" t="s">
        <v>8</v>
      </c>
      <c r="D200" t="s">
        <v>339</v>
      </c>
      <c r="E200" t="s">
        <v>653</v>
      </c>
      <c r="F200" s="23">
        <v>160</v>
      </c>
      <c r="G200" s="23"/>
      <c r="H200" s="1">
        <v>46274</v>
      </c>
      <c r="I200" t="s">
        <v>893</v>
      </c>
      <c r="J200" t="s">
        <v>654</v>
      </c>
    </row>
    <row r="201" spans="1:10" x14ac:dyDescent="0.25">
      <c r="A201" t="s">
        <v>446</v>
      </c>
      <c r="B201" s="1">
        <v>46238</v>
      </c>
      <c r="C201" t="s">
        <v>8</v>
      </c>
      <c r="D201" t="s">
        <v>266</v>
      </c>
      <c r="E201" t="s">
        <v>540</v>
      </c>
      <c r="F201" s="23">
        <v>365.9</v>
      </c>
      <c r="G201" s="23"/>
      <c r="H201" s="1">
        <v>46248</v>
      </c>
      <c r="I201" t="s">
        <v>893</v>
      </c>
      <c r="J201" t="s">
        <v>457</v>
      </c>
    </row>
    <row r="202" spans="1:10" x14ac:dyDescent="0.25">
      <c r="A202" t="s">
        <v>212</v>
      </c>
      <c r="B202" s="1">
        <v>46178</v>
      </c>
      <c r="C202" t="s">
        <v>8</v>
      </c>
      <c r="D202" t="s">
        <v>407</v>
      </c>
      <c r="E202" t="s">
        <v>408</v>
      </c>
      <c r="F202" s="23">
        <v>2024</v>
      </c>
      <c r="G202" s="23"/>
      <c r="H202" s="1">
        <v>46235</v>
      </c>
      <c r="I202" t="s">
        <v>893</v>
      </c>
      <c r="J202" t="s">
        <v>409</v>
      </c>
    </row>
    <row r="203" spans="1:10" x14ac:dyDescent="0.25">
      <c r="A203" t="s">
        <v>159</v>
      </c>
      <c r="B203" s="1">
        <v>46178</v>
      </c>
      <c r="C203" t="s">
        <v>8</v>
      </c>
      <c r="D203" t="s">
        <v>392</v>
      </c>
      <c r="E203" t="s">
        <v>393</v>
      </c>
      <c r="F203" s="23">
        <v>400</v>
      </c>
      <c r="G203" s="23"/>
      <c r="H203" s="1">
        <v>46234</v>
      </c>
      <c r="I203" t="s">
        <v>893</v>
      </c>
      <c r="J203" t="s">
        <v>394</v>
      </c>
    </row>
    <row r="204" spans="1:10" x14ac:dyDescent="0.25">
      <c r="A204" t="s">
        <v>348</v>
      </c>
      <c r="B204" s="1">
        <v>46248</v>
      </c>
      <c r="C204" t="s">
        <v>8</v>
      </c>
      <c r="D204" t="s">
        <v>392</v>
      </c>
      <c r="E204" t="s">
        <v>938</v>
      </c>
      <c r="F204" s="23">
        <v>300</v>
      </c>
      <c r="G204" s="23"/>
      <c r="H204" s="1">
        <v>46251</v>
      </c>
      <c r="I204" t="s">
        <v>893</v>
      </c>
      <c r="J204" t="s">
        <v>939</v>
      </c>
    </row>
    <row r="205" spans="1:10" x14ac:dyDescent="0.25">
      <c r="A205" t="s">
        <v>159</v>
      </c>
      <c r="B205" s="1">
        <v>46178</v>
      </c>
      <c r="C205" t="s">
        <v>8</v>
      </c>
      <c r="D205" t="s">
        <v>55</v>
      </c>
      <c r="E205" t="s">
        <v>346</v>
      </c>
      <c r="F205" s="23">
        <v>1426</v>
      </c>
      <c r="G205" s="23"/>
      <c r="H205" s="1">
        <v>46230</v>
      </c>
      <c r="I205" t="s">
        <v>893</v>
      </c>
      <c r="J205" t="s">
        <v>347</v>
      </c>
    </row>
    <row r="206" spans="1:10" x14ac:dyDescent="0.25">
      <c r="A206" t="s">
        <v>38</v>
      </c>
      <c r="B206" s="1">
        <v>46246</v>
      </c>
      <c r="C206" t="s">
        <v>8</v>
      </c>
      <c r="D206" t="s">
        <v>55</v>
      </c>
      <c r="E206" t="s">
        <v>766</v>
      </c>
      <c r="F206" s="23">
        <v>1253.4000000000001</v>
      </c>
      <c r="G206" s="23"/>
      <c r="H206" s="1">
        <v>46246</v>
      </c>
      <c r="I206" t="s">
        <v>893</v>
      </c>
      <c r="J206" t="s">
        <v>767</v>
      </c>
    </row>
    <row r="207" spans="1:10" x14ac:dyDescent="0.25">
      <c r="A207" t="s">
        <v>115</v>
      </c>
      <c r="B207" s="1">
        <v>46246</v>
      </c>
      <c r="C207" t="s">
        <v>8</v>
      </c>
      <c r="D207" t="s">
        <v>55</v>
      </c>
      <c r="E207" t="s">
        <v>768</v>
      </c>
      <c r="F207" s="23"/>
      <c r="G207" s="23">
        <v>129.08000000000001</v>
      </c>
      <c r="H207" s="1">
        <v>46246</v>
      </c>
      <c r="I207" t="s">
        <v>893</v>
      </c>
      <c r="J207" t="s">
        <v>769</v>
      </c>
    </row>
    <row r="208" spans="1:10" x14ac:dyDescent="0.25">
      <c r="A208" t="s">
        <v>204</v>
      </c>
      <c r="B208" s="1">
        <v>46246</v>
      </c>
      <c r="C208" t="s">
        <v>8</v>
      </c>
      <c r="D208" t="s">
        <v>55</v>
      </c>
      <c r="E208" t="s">
        <v>770</v>
      </c>
      <c r="F208" s="23">
        <v>971.8</v>
      </c>
      <c r="G208" s="23"/>
      <c r="H208" s="1">
        <v>46246</v>
      </c>
      <c r="I208" t="s">
        <v>893</v>
      </c>
      <c r="J208" t="s">
        <v>771</v>
      </c>
    </row>
    <row r="209" spans="1:10" x14ac:dyDescent="0.25">
      <c r="A209" t="s">
        <v>212</v>
      </c>
      <c r="B209" s="1">
        <v>46184</v>
      </c>
      <c r="C209" t="s">
        <v>8</v>
      </c>
      <c r="D209" t="s">
        <v>55</v>
      </c>
      <c r="E209" t="s">
        <v>541</v>
      </c>
      <c r="F209" s="23">
        <v>72</v>
      </c>
      <c r="G209" s="23"/>
      <c r="H209" s="1">
        <v>46248</v>
      </c>
      <c r="I209" t="s">
        <v>893</v>
      </c>
      <c r="J209" t="s">
        <v>542</v>
      </c>
    </row>
    <row r="210" spans="1:10" x14ac:dyDescent="0.25">
      <c r="A210" t="s">
        <v>348</v>
      </c>
      <c r="B210" s="1">
        <v>46245</v>
      </c>
      <c r="C210" t="s">
        <v>8</v>
      </c>
      <c r="D210" t="s">
        <v>55</v>
      </c>
      <c r="E210" t="s">
        <v>718</v>
      </c>
      <c r="F210" s="23">
        <v>1189.4000000000001</v>
      </c>
      <c r="G210" s="23"/>
      <c r="H210" s="1">
        <v>46255</v>
      </c>
      <c r="I210" t="s">
        <v>893</v>
      </c>
      <c r="J210" t="s">
        <v>719</v>
      </c>
    </row>
    <row r="211" spans="1:10" x14ac:dyDescent="0.25">
      <c r="A211" t="s">
        <v>287</v>
      </c>
      <c r="B211" s="1">
        <v>46246</v>
      </c>
      <c r="C211" t="s">
        <v>8</v>
      </c>
      <c r="D211" t="s">
        <v>55</v>
      </c>
      <c r="E211" t="s">
        <v>772</v>
      </c>
      <c r="F211" s="23">
        <v>1228</v>
      </c>
      <c r="G211" s="23"/>
      <c r="H211" s="1">
        <v>46255</v>
      </c>
      <c r="I211" t="s">
        <v>893</v>
      </c>
      <c r="J211" t="s">
        <v>773</v>
      </c>
    </row>
    <row r="212" spans="1:10" x14ac:dyDescent="0.25">
      <c r="A212" t="s">
        <v>287</v>
      </c>
      <c r="B212" s="1">
        <v>46246</v>
      </c>
      <c r="C212" t="s">
        <v>8</v>
      </c>
      <c r="D212" t="s">
        <v>55</v>
      </c>
      <c r="E212" t="s">
        <v>774</v>
      </c>
      <c r="F212" s="23">
        <v>1248.5999999999999</v>
      </c>
      <c r="G212" s="23"/>
      <c r="H212" s="1">
        <v>46255</v>
      </c>
      <c r="I212" t="s">
        <v>893</v>
      </c>
      <c r="J212" t="s">
        <v>354</v>
      </c>
    </row>
    <row r="213" spans="1:10" x14ac:dyDescent="0.25">
      <c r="A213" t="s">
        <v>554</v>
      </c>
      <c r="B213" s="1">
        <v>46248</v>
      </c>
      <c r="C213" t="s">
        <v>8</v>
      </c>
      <c r="D213" t="s">
        <v>55</v>
      </c>
      <c r="E213" t="s">
        <v>940</v>
      </c>
      <c r="F213" s="23">
        <v>1243.5999999999999</v>
      </c>
      <c r="G213" s="23"/>
      <c r="H213" s="1">
        <v>46269</v>
      </c>
      <c r="I213" t="s">
        <v>893</v>
      </c>
      <c r="J213" t="s">
        <v>941</v>
      </c>
    </row>
    <row r="214" spans="1:10" x14ac:dyDescent="0.25">
      <c r="A214" t="s">
        <v>348</v>
      </c>
      <c r="B214" s="1">
        <v>46184</v>
      </c>
      <c r="C214" t="s">
        <v>8</v>
      </c>
      <c r="D214" t="s">
        <v>610</v>
      </c>
      <c r="E214" t="s">
        <v>611</v>
      </c>
      <c r="F214" s="23">
        <v>348</v>
      </c>
      <c r="G214" s="23"/>
      <c r="H214" s="1">
        <v>46265</v>
      </c>
      <c r="I214" t="s">
        <v>893</v>
      </c>
      <c r="J214" t="s">
        <v>612</v>
      </c>
    </row>
    <row r="215" spans="1:10" x14ac:dyDescent="0.25">
      <c r="A215" t="s">
        <v>462</v>
      </c>
      <c r="B215" s="1">
        <v>46211</v>
      </c>
      <c r="C215" t="s">
        <v>8</v>
      </c>
      <c r="D215" t="s">
        <v>505</v>
      </c>
      <c r="E215" t="s">
        <v>506</v>
      </c>
      <c r="F215" s="23">
        <v>566.4</v>
      </c>
      <c r="G215" s="23"/>
      <c r="H215" s="1">
        <v>46241</v>
      </c>
      <c r="I215" t="s">
        <v>893</v>
      </c>
      <c r="J215" t="s">
        <v>507</v>
      </c>
    </row>
    <row r="216" spans="1:10" x14ac:dyDescent="0.25">
      <c r="A216" t="s">
        <v>462</v>
      </c>
      <c r="B216" s="1">
        <v>46211</v>
      </c>
      <c r="C216" t="s">
        <v>8</v>
      </c>
      <c r="D216" t="s">
        <v>505</v>
      </c>
      <c r="E216" t="s">
        <v>508</v>
      </c>
      <c r="F216" s="23">
        <v>18.88</v>
      </c>
      <c r="G216" s="23"/>
      <c r="H216" s="1">
        <v>46241</v>
      </c>
      <c r="I216" t="s">
        <v>893</v>
      </c>
      <c r="J216" t="s">
        <v>509</v>
      </c>
    </row>
    <row r="217" spans="1:10" x14ac:dyDescent="0.25">
      <c r="A217" t="s">
        <v>462</v>
      </c>
      <c r="B217" s="1">
        <v>46211</v>
      </c>
      <c r="C217" t="s">
        <v>8</v>
      </c>
      <c r="D217" t="s">
        <v>118</v>
      </c>
      <c r="E217" t="s">
        <v>510</v>
      </c>
      <c r="F217" s="23">
        <v>1333.4</v>
      </c>
      <c r="G217" s="23"/>
      <c r="H217" s="1">
        <v>46241</v>
      </c>
      <c r="I217" t="s">
        <v>893</v>
      </c>
      <c r="J217" t="s">
        <v>511</v>
      </c>
    </row>
    <row r="218" spans="1:10" x14ac:dyDescent="0.25">
      <c r="A218" t="s">
        <v>190</v>
      </c>
      <c r="B218" s="1">
        <v>46190</v>
      </c>
      <c r="C218" t="s">
        <v>8</v>
      </c>
      <c r="D218" t="s">
        <v>87</v>
      </c>
      <c r="E218" t="s">
        <v>226</v>
      </c>
      <c r="F218" s="23">
        <v>54</v>
      </c>
      <c r="G218" s="23"/>
      <c r="H218" s="1">
        <v>46213</v>
      </c>
      <c r="I218" t="s">
        <v>893</v>
      </c>
      <c r="J218" t="s">
        <v>227</v>
      </c>
    </row>
    <row r="219" spans="1:10" x14ac:dyDescent="0.25">
      <c r="A219" t="s">
        <v>233</v>
      </c>
      <c r="B219" s="1">
        <v>46178</v>
      </c>
      <c r="C219" t="s">
        <v>8</v>
      </c>
      <c r="D219" t="s">
        <v>87</v>
      </c>
      <c r="E219" t="s">
        <v>267</v>
      </c>
      <c r="F219" s="23">
        <v>74</v>
      </c>
      <c r="G219" s="23"/>
      <c r="H219" s="1">
        <v>46220</v>
      </c>
      <c r="I219" t="s">
        <v>893</v>
      </c>
      <c r="J219" t="s">
        <v>268</v>
      </c>
    </row>
    <row r="220" spans="1:10" x14ac:dyDescent="0.25">
      <c r="A220" t="s">
        <v>121</v>
      </c>
      <c r="B220" s="1">
        <v>46204</v>
      </c>
      <c r="C220" t="s">
        <v>8</v>
      </c>
      <c r="D220" t="s">
        <v>87</v>
      </c>
      <c r="E220" t="s">
        <v>269</v>
      </c>
      <c r="F220" s="23">
        <v>87</v>
      </c>
      <c r="G220" s="23"/>
      <c r="H220" s="1">
        <v>46220</v>
      </c>
      <c r="I220" t="s">
        <v>893</v>
      </c>
      <c r="J220" t="s">
        <v>270</v>
      </c>
    </row>
    <row r="221" spans="1:10" x14ac:dyDescent="0.25">
      <c r="A221" t="s">
        <v>159</v>
      </c>
      <c r="B221" s="1">
        <v>46178</v>
      </c>
      <c r="C221" t="s">
        <v>8</v>
      </c>
      <c r="D221" t="s">
        <v>87</v>
      </c>
      <c r="E221" t="s">
        <v>395</v>
      </c>
      <c r="F221" s="23">
        <v>87</v>
      </c>
      <c r="G221" s="23"/>
      <c r="H221" s="1">
        <v>46234</v>
      </c>
      <c r="I221" t="s">
        <v>893</v>
      </c>
      <c r="J221" t="s">
        <v>396</v>
      </c>
    </row>
    <row r="222" spans="1:10" x14ac:dyDescent="0.25">
      <c r="A222" t="s">
        <v>212</v>
      </c>
      <c r="B222" s="1">
        <v>46178</v>
      </c>
      <c r="C222" t="s">
        <v>8</v>
      </c>
      <c r="D222" t="s">
        <v>87</v>
      </c>
      <c r="E222" t="s">
        <v>397</v>
      </c>
      <c r="F222" s="23">
        <v>137</v>
      </c>
      <c r="G222" s="23"/>
      <c r="H222" s="1">
        <v>46234</v>
      </c>
      <c r="I222" t="s">
        <v>893</v>
      </c>
      <c r="J222" t="s">
        <v>398</v>
      </c>
    </row>
    <row r="223" spans="1:10" x14ac:dyDescent="0.25">
      <c r="A223" t="s">
        <v>147</v>
      </c>
      <c r="B223" s="1">
        <v>46245</v>
      </c>
      <c r="C223" t="s">
        <v>8</v>
      </c>
      <c r="D223" t="s">
        <v>87</v>
      </c>
      <c r="E223" t="s">
        <v>777</v>
      </c>
      <c r="F223" s="23">
        <v>68</v>
      </c>
      <c r="G223" s="23"/>
      <c r="H223" s="1">
        <v>46245</v>
      </c>
      <c r="I223" t="s">
        <v>893</v>
      </c>
      <c r="J223" t="s">
        <v>778</v>
      </c>
    </row>
    <row r="224" spans="1:10" x14ac:dyDescent="0.25">
      <c r="A224" t="s">
        <v>446</v>
      </c>
      <c r="B224" s="1">
        <v>46234</v>
      </c>
      <c r="C224" t="s">
        <v>8</v>
      </c>
      <c r="D224" t="s">
        <v>87</v>
      </c>
      <c r="E224" t="s">
        <v>543</v>
      </c>
      <c r="F224" s="23">
        <v>26</v>
      </c>
      <c r="G224" s="23"/>
      <c r="H224" s="1">
        <v>46248</v>
      </c>
      <c r="I224" t="s">
        <v>893</v>
      </c>
      <c r="J224" t="s">
        <v>544</v>
      </c>
    </row>
    <row r="225" spans="1:10" x14ac:dyDescent="0.25">
      <c r="A225" t="s">
        <v>204</v>
      </c>
      <c r="B225" s="1">
        <v>46248</v>
      </c>
      <c r="C225" t="s">
        <v>8</v>
      </c>
      <c r="D225" t="s">
        <v>87</v>
      </c>
      <c r="E225" t="s">
        <v>963</v>
      </c>
      <c r="F225" s="23">
        <v>111</v>
      </c>
      <c r="G225" s="23"/>
      <c r="H225" s="1">
        <v>46251</v>
      </c>
      <c r="I225" t="s">
        <v>893</v>
      </c>
      <c r="J225" t="s">
        <v>964</v>
      </c>
    </row>
    <row r="226" spans="1:10" x14ac:dyDescent="0.25">
      <c r="A226" t="s">
        <v>348</v>
      </c>
      <c r="B226" s="1">
        <v>46225</v>
      </c>
      <c r="C226" t="s">
        <v>8</v>
      </c>
      <c r="D226" t="s">
        <v>87</v>
      </c>
      <c r="E226" t="s">
        <v>623</v>
      </c>
      <c r="F226" s="23">
        <v>87</v>
      </c>
      <c r="G226" s="23"/>
      <c r="H226" s="1">
        <v>46269</v>
      </c>
      <c r="I226" t="s">
        <v>893</v>
      </c>
      <c r="J226" t="s">
        <v>624</v>
      </c>
    </row>
    <row r="227" spans="1:10" x14ac:dyDescent="0.25">
      <c r="A227" t="s">
        <v>467</v>
      </c>
      <c r="B227" s="1">
        <v>46241</v>
      </c>
      <c r="C227" t="s">
        <v>8</v>
      </c>
      <c r="D227" t="s">
        <v>87</v>
      </c>
      <c r="E227" t="s">
        <v>655</v>
      </c>
      <c r="F227" s="23">
        <v>26</v>
      </c>
      <c r="G227" s="23"/>
      <c r="H227" s="1">
        <v>46274</v>
      </c>
      <c r="I227" t="s">
        <v>893</v>
      </c>
      <c r="J227" t="s">
        <v>656</v>
      </c>
    </row>
    <row r="228" spans="1:10" x14ac:dyDescent="0.25">
      <c r="A228" t="s">
        <v>467</v>
      </c>
      <c r="B228" s="1">
        <v>46241</v>
      </c>
      <c r="C228" t="s">
        <v>8</v>
      </c>
      <c r="D228" t="s">
        <v>87</v>
      </c>
      <c r="E228" t="s">
        <v>657</v>
      </c>
      <c r="F228" s="23">
        <v>32</v>
      </c>
      <c r="G228" s="23"/>
      <c r="H228" s="1">
        <v>46274</v>
      </c>
      <c r="I228" t="s">
        <v>893</v>
      </c>
      <c r="J228" t="s">
        <v>658</v>
      </c>
    </row>
    <row r="229" spans="1:10" x14ac:dyDescent="0.25">
      <c r="A229" t="s">
        <v>467</v>
      </c>
      <c r="B229" s="1">
        <v>46241</v>
      </c>
      <c r="C229" t="s">
        <v>8</v>
      </c>
      <c r="D229" t="s">
        <v>87</v>
      </c>
      <c r="E229" t="s">
        <v>659</v>
      </c>
      <c r="F229" s="23">
        <v>72</v>
      </c>
      <c r="G229" s="23"/>
      <c r="H229" s="1">
        <v>46274</v>
      </c>
      <c r="I229" t="s">
        <v>893</v>
      </c>
      <c r="J229" t="s">
        <v>660</v>
      </c>
    </row>
    <row r="230" spans="1:10" x14ac:dyDescent="0.25">
      <c r="A230" t="s">
        <v>467</v>
      </c>
      <c r="B230" s="1">
        <v>46241</v>
      </c>
      <c r="C230" t="s">
        <v>8</v>
      </c>
      <c r="D230" t="s">
        <v>87</v>
      </c>
      <c r="E230" t="s">
        <v>661</v>
      </c>
      <c r="F230" s="23">
        <v>64</v>
      </c>
      <c r="G230" s="23"/>
      <c r="H230" s="1">
        <v>46274</v>
      </c>
      <c r="I230" t="s">
        <v>893</v>
      </c>
      <c r="J230" t="s">
        <v>662</v>
      </c>
    </row>
    <row r="231" spans="1:10" x14ac:dyDescent="0.25">
      <c r="A231" t="s">
        <v>467</v>
      </c>
      <c r="B231" s="1">
        <v>46241</v>
      </c>
      <c r="C231" t="s">
        <v>8</v>
      </c>
      <c r="D231" t="s">
        <v>87</v>
      </c>
      <c r="E231" t="s">
        <v>663</v>
      </c>
      <c r="F231" s="23">
        <v>35.4</v>
      </c>
      <c r="G231" s="23"/>
      <c r="H231" s="1">
        <v>46274</v>
      </c>
      <c r="I231" t="s">
        <v>893</v>
      </c>
      <c r="J231" t="s">
        <v>664</v>
      </c>
    </row>
    <row r="232" spans="1:10" x14ac:dyDescent="0.25">
      <c r="A232" t="s">
        <v>467</v>
      </c>
      <c r="B232" s="1">
        <v>46241</v>
      </c>
      <c r="C232" t="s">
        <v>8</v>
      </c>
      <c r="D232" t="s">
        <v>87</v>
      </c>
      <c r="E232" t="s">
        <v>665</v>
      </c>
      <c r="F232" s="23">
        <v>23</v>
      </c>
      <c r="G232" s="23"/>
      <c r="H232" s="1">
        <v>46274</v>
      </c>
      <c r="I232" t="s">
        <v>893</v>
      </c>
      <c r="J232" t="s">
        <v>666</v>
      </c>
    </row>
    <row r="233" spans="1:10" x14ac:dyDescent="0.25">
      <c r="A233" t="s">
        <v>467</v>
      </c>
      <c r="B233" s="1">
        <v>46241</v>
      </c>
      <c r="C233" t="s">
        <v>8</v>
      </c>
      <c r="D233" t="s">
        <v>87</v>
      </c>
      <c r="E233" t="s">
        <v>667</v>
      </c>
      <c r="F233" s="23">
        <v>25</v>
      </c>
      <c r="G233" s="23"/>
      <c r="H233" s="1">
        <v>46274</v>
      </c>
      <c r="I233" t="s">
        <v>893</v>
      </c>
      <c r="J233" t="s">
        <v>668</v>
      </c>
    </row>
    <row r="234" spans="1:10" x14ac:dyDescent="0.25">
      <c r="A234" t="s">
        <v>159</v>
      </c>
      <c r="B234" s="1">
        <v>46177</v>
      </c>
      <c r="C234" t="s">
        <v>8</v>
      </c>
      <c r="D234" t="s">
        <v>17</v>
      </c>
      <c r="E234" t="s">
        <v>399</v>
      </c>
      <c r="F234" s="23">
        <v>873.2</v>
      </c>
      <c r="G234" s="23"/>
      <c r="H234" s="1">
        <v>46234</v>
      </c>
      <c r="I234" t="s">
        <v>893</v>
      </c>
      <c r="J234" t="s">
        <v>400</v>
      </c>
    </row>
    <row r="235" spans="1:10" x14ac:dyDescent="0.25">
      <c r="A235" t="s">
        <v>19</v>
      </c>
      <c r="B235" s="1">
        <v>46246</v>
      </c>
      <c r="C235" t="s">
        <v>8</v>
      </c>
      <c r="D235" t="s">
        <v>17</v>
      </c>
      <c r="E235" t="s">
        <v>779</v>
      </c>
      <c r="F235" s="23">
        <v>17.7</v>
      </c>
      <c r="G235" s="23"/>
      <c r="H235" s="1">
        <v>46246</v>
      </c>
      <c r="I235" t="s">
        <v>893</v>
      </c>
      <c r="J235" t="s">
        <v>780</v>
      </c>
    </row>
    <row r="236" spans="1:10" x14ac:dyDescent="0.25">
      <c r="A236" t="s">
        <v>19</v>
      </c>
      <c r="B236" s="1">
        <v>46246</v>
      </c>
      <c r="C236" t="s">
        <v>8</v>
      </c>
      <c r="D236" t="s">
        <v>17</v>
      </c>
      <c r="E236" t="s">
        <v>781</v>
      </c>
      <c r="F236" s="23">
        <v>17.7</v>
      </c>
      <c r="G236" s="23"/>
      <c r="H236" s="1">
        <v>46246</v>
      </c>
      <c r="I236" t="s">
        <v>893</v>
      </c>
      <c r="J236" t="s">
        <v>780</v>
      </c>
    </row>
    <row r="237" spans="1:10" x14ac:dyDescent="0.25">
      <c r="A237" t="s">
        <v>94</v>
      </c>
      <c r="B237" s="1">
        <v>46246</v>
      </c>
      <c r="C237" t="s">
        <v>8</v>
      </c>
      <c r="D237" t="s">
        <v>17</v>
      </c>
      <c r="E237" t="s">
        <v>782</v>
      </c>
      <c r="F237" s="23">
        <v>110.92</v>
      </c>
      <c r="G237" s="23"/>
      <c r="H237" s="1">
        <v>46246</v>
      </c>
      <c r="I237" t="s">
        <v>893</v>
      </c>
      <c r="J237" t="s">
        <v>783</v>
      </c>
    </row>
    <row r="238" spans="1:10" x14ac:dyDescent="0.25">
      <c r="A238" t="s">
        <v>94</v>
      </c>
      <c r="B238" s="1">
        <v>46246</v>
      </c>
      <c r="C238" t="s">
        <v>8</v>
      </c>
      <c r="D238" t="s">
        <v>17</v>
      </c>
      <c r="E238" t="s">
        <v>784</v>
      </c>
      <c r="F238" s="23">
        <v>110.92</v>
      </c>
      <c r="G238" s="23"/>
      <c r="H238" s="1">
        <v>46246</v>
      </c>
      <c r="I238" t="s">
        <v>893</v>
      </c>
      <c r="J238" t="s">
        <v>783</v>
      </c>
    </row>
    <row r="239" spans="1:10" x14ac:dyDescent="0.25">
      <c r="A239" t="s">
        <v>16</v>
      </c>
      <c r="B239" s="1">
        <v>46246</v>
      </c>
      <c r="C239" t="s">
        <v>8</v>
      </c>
      <c r="D239" t="s">
        <v>17</v>
      </c>
      <c r="E239" t="s">
        <v>813</v>
      </c>
      <c r="F239" s="23">
        <v>56.53</v>
      </c>
      <c r="G239" s="23"/>
      <c r="H239" s="1">
        <v>46246</v>
      </c>
      <c r="I239" t="s">
        <v>893</v>
      </c>
      <c r="J239" t="s">
        <v>18</v>
      </c>
    </row>
    <row r="240" spans="1:10" x14ac:dyDescent="0.25">
      <c r="A240" t="s">
        <v>16</v>
      </c>
      <c r="B240" s="1">
        <v>46246</v>
      </c>
      <c r="C240" t="s">
        <v>8</v>
      </c>
      <c r="D240" t="s">
        <v>17</v>
      </c>
      <c r="E240" t="s">
        <v>814</v>
      </c>
      <c r="F240" s="23">
        <v>56.53</v>
      </c>
      <c r="G240" s="23"/>
      <c r="H240" s="1">
        <v>46246</v>
      </c>
      <c r="I240" t="s">
        <v>893</v>
      </c>
      <c r="J240" t="s">
        <v>18</v>
      </c>
    </row>
    <row r="241" spans="1:10" x14ac:dyDescent="0.25">
      <c r="A241" t="s">
        <v>16</v>
      </c>
      <c r="B241" s="1">
        <v>46246</v>
      </c>
      <c r="C241" t="s">
        <v>8</v>
      </c>
      <c r="D241" t="s">
        <v>17</v>
      </c>
      <c r="E241" t="s">
        <v>815</v>
      </c>
      <c r="F241" s="23">
        <v>52.03</v>
      </c>
      <c r="G241" s="23"/>
      <c r="H241" s="1">
        <v>46246</v>
      </c>
      <c r="I241" t="s">
        <v>893</v>
      </c>
      <c r="J241" t="s">
        <v>816</v>
      </c>
    </row>
    <row r="242" spans="1:10" x14ac:dyDescent="0.25">
      <c r="A242" t="s">
        <v>16</v>
      </c>
      <c r="B242" s="1">
        <v>46246</v>
      </c>
      <c r="C242" t="s">
        <v>8</v>
      </c>
      <c r="D242" t="s">
        <v>17</v>
      </c>
      <c r="E242" t="s">
        <v>817</v>
      </c>
      <c r="F242" s="23">
        <v>52.03</v>
      </c>
      <c r="G242" s="23"/>
      <c r="H242" s="1">
        <v>46246</v>
      </c>
      <c r="I242" t="s">
        <v>893</v>
      </c>
      <c r="J242" t="s">
        <v>816</v>
      </c>
    </row>
    <row r="243" spans="1:10" x14ac:dyDescent="0.25">
      <c r="A243" t="s">
        <v>366</v>
      </c>
      <c r="B243" s="1">
        <v>46209</v>
      </c>
      <c r="C243" t="s">
        <v>8</v>
      </c>
      <c r="D243" t="s">
        <v>17</v>
      </c>
      <c r="E243" t="s">
        <v>545</v>
      </c>
      <c r="F243" s="23">
        <v>86.14</v>
      </c>
      <c r="G243" s="23"/>
      <c r="H243" s="1">
        <v>46248</v>
      </c>
      <c r="I243" t="s">
        <v>893</v>
      </c>
      <c r="J243" t="s">
        <v>368</v>
      </c>
    </row>
    <row r="244" spans="1:10" x14ac:dyDescent="0.25">
      <c r="A244" t="s">
        <v>287</v>
      </c>
      <c r="B244" s="1">
        <v>46248</v>
      </c>
      <c r="C244" t="s">
        <v>8</v>
      </c>
      <c r="D244" t="s">
        <v>17</v>
      </c>
      <c r="E244" t="s">
        <v>942</v>
      </c>
      <c r="F244" s="23">
        <v>444.27</v>
      </c>
      <c r="G244" s="23"/>
      <c r="H244" s="1">
        <v>46250</v>
      </c>
      <c r="I244" t="s">
        <v>893</v>
      </c>
      <c r="J244" t="s">
        <v>943</v>
      </c>
    </row>
    <row r="245" spans="1:10" x14ac:dyDescent="0.25">
      <c r="A245" t="s">
        <v>287</v>
      </c>
      <c r="B245" s="1">
        <v>46248</v>
      </c>
      <c r="C245" t="s">
        <v>8</v>
      </c>
      <c r="D245" t="s">
        <v>17</v>
      </c>
      <c r="E245" t="s">
        <v>944</v>
      </c>
      <c r="F245" s="23">
        <v>444.27</v>
      </c>
      <c r="G245" s="23"/>
      <c r="H245" s="1">
        <v>46255</v>
      </c>
      <c r="I245" t="s">
        <v>893</v>
      </c>
      <c r="J245" t="s">
        <v>943</v>
      </c>
    </row>
    <row r="246" spans="1:10" x14ac:dyDescent="0.25">
      <c r="A246" t="s">
        <v>467</v>
      </c>
      <c r="B246" s="1">
        <v>46241</v>
      </c>
      <c r="C246" t="s">
        <v>8</v>
      </c>
      <c r="D246" t="s">
        <v>17</v>
      </c>
      <c r="E246" t="s">
        <v>669</v>
      </c>
      <c r="F246" s="23">
        <v>120.95</v>
      </c>
      <c r="G246" s="23"/>
      <c r="H246" s="1">
        <v>46274</v>
      </c>
      <c r="I246" t="s">
        <v>893</v>
      </c>
      <c r="J246" t="s">
        <v>521</v>
      </c>
    </row>
    <row r="247" spans="1:10" x14ac:dyDescent="0.25">
      <c r="A247" t="s">
        <v>467</v>
      </c>
      <c r="B247" s="1">
        <v>46241</v>
      </c>
      <c r="C247" t="s">
        <v>8</v>
      </c>
      <c r="D247" t="s">
        <v>17</v>
      </c>
      <c r="E247" t="s">
        <v>670</v>
      </c>
      <c r="F247" s="23">
        <v>33.04</v>
      </c>
      <c r="G247" s="23"/>
      <c r="H247" s="1">
        <v>46274</v>
      </c>
      <c r="I247" t="s">
        <v>893</v>
      </c>
      <c r="J247" t="s">
        <v>609</v>
      </c>
    </row>
    <row r="248" spans="1:10" x14ac:dyDescent="0.25">
      <c r="A248" t="s">
        <v>204</v>
      </c>
      <c r="B248" s="1">
        <v>46176</v>
      </c>
      <c r="C248" t="s">
        <v>8</v>
      </c>
      <c r="D248" t="s">
        <v>237</v>
      </c>
      <c r="E248" t="s">
        <v>238</v>
      </c>
      <c r="F248" s="23">
        <v>89</v>
      </c>
      <c r="G248" s="23"/>
      <c r="H248" s="1">
        <v>46218</v>
      </c>
      <c r="I248" t="s">
        <v>893</v>
      </c>
      <c r="J248" t="s">
        <v>239</v>
      </c>
    </row>
    <row r="249" spans="1:10" x14ac:dyDescent="0.25">
      <c r="A249" t="s">
        <v>215</v>
      </c>
      <c r="B249" s="1">
        <v>46205</v>
      </c>
      <c r="C249" t="s">
        <v>8</v>
      </c>
      <c r="D249" t="s">
        <v>237</v>
      </c>
      <c r="E249" t="s">
        <v>271</v>
      </c>
      <c r="F249" s="23">
        <v>45</v>
      </c>
      <c r="G249" s="23"/>
      <c r="H249" s="1">
        <v>46220</v>
      </c>
      <c r="I249" t="s">
        <v>893</v>
      </c>
      <c r="J249" t="s">
        <v>272</v>
      </c>
    </row>
    <row r="250" spans="1:10" x14ac:dyDescent="0.25">
      <c r="A250" t="s">
        <v>212</v>
      </c>
      <c r="B250" s="1">
        <v>46183</v>
      </c>
      <c r="C250" t="s">
        <v>8</v>
      </c>
      <c r="D250" t="s">
        <v>237</v>
      </c>
      <c r="E250" t="s">
        <v>297</v>
      </c>
      <c r="F250" s="23">
        <v>103</v>
      </c>
      <c r="G250" s="23"/>
      <c r="H250" s="1">
        <v>46225</v>
      </c>
      <c r="I250" t="s">
        <v>893</v>
      </c>
      <c r="J250" t="s">
        <v>298</v>
      </c>
    </row>
    <row r="251" spans="1:10" x14ac:dyDescent="0.25">
      <c r="A251" t="s">
        <v>159</v>
      </c>
      <c r="B251" s="1">
        <v>46178</v>
      </c>
      <c r="C251" t="s">
        <v>8</v>
      </c>
      <c r="D251" t="s">
        <v>237</v>
      </c>
      <c r="E251" t="s">
        <v>327</v>
      </c>
      <c r="F251" s="23">
        <v>43</v>
      </c>
      <c r="G251" s="23"/>
      <c r="H251" s="1">
        <v>46227</v>
      </c>
      <c r="I251" t="s">
        <v>893</v>
      </c>
      <c r="J251" t="s">
        <v>328</v>
      </c>
    </row>
    <row r="252" spans="1:10" x14ac:dyDescent="0.25">
      <c r="A252" t="s">
        <v>233</v>
      </c>
      <c r="B252" s="1">
        <v>46233</v>
      </c>
      <c r="C252" t="s">
        <v>8</v>
      </c>
      <c r="D252" t="s">
        <v>237</v>
      </c>
      <c r="E252" t="s">
        <v>329</v>
      </c>
      <c r="F252" s="23">
        <v>40</v>
      </c>
      <c r="G252" s="23"/>
      <c r="H252" s="1">
        <v>46227</v>
      </c>
      <c r="I252" t="s">
        <v>893</v>
      </c>
      <c r="J252" t="s">
        <v>330</v>
      </c>
    </row>
    <row r="253" spans="1:10" x14ac:dyDescent="0.25">
      <c r="A253" t="s">
        <v>290</v>
      </c>
      <c r="B253" s="1">
        <v>46181</v>
      </c>
      <c r="C253" t="s">
        <v>8</v>
      </c>
      <c r="D253" t="s">
        <v>237</v>
      </c>
      <c r="E253" t="s">
        <v>359</v>
      </c>
      <c r="F253" s="23">
        <v>69</v>
      </c>
      <c r="G253" s="23"/>
      <c r="H253" s="1">
        <v>46232</v>
      </c>
      <c r="I253" t="s">
        <v>893</v>
      </c>
      <c r="J253" t="s">
        <v>360</v>
      </c>
    </row>
    <row r="254" spans="1:10" x14ac:dyDescent="0.25">
      <c r="A254" t="s">
        <v>309</v>
      </c>
      <c r="B254" s="1">
        <v>46218</v>
      </c>
      <c r="C254" t="s">
        <v>8</v>
      </c>
      <c r="D254" t="s">
        <v>237</v>
      </c>
      <c r="E254" t="s">
        <v>401</v>
      </c>
      <c r="F254" s="23">
        <v>40</v>
      </c>
      <c r="G254" s="23"/>
      <c r="H254" s="1">
        <v>46234</v>
      </c>
      <c r="I254" t="s">
        <v>893</v>
      </c>
      <c r="J254" t="s">
        <v>402</v>
      </c>
    </row>
    <row r="255" spans="1:10" x14ac:dyDescent="0.25">
      <c r="A255" t="s">
        <v>462</v>
      </c>
      <c r="B255" s="1">
        <v>46203</v>
      </c>
      <c r="C255" t="s">
        <v>8</v>
      </c>
      <c r="D255" t="s">
        <v>237</v>
      </c>
      <c r="E255" t="s">
        <v>463</v>
      </c>
      <c r="F255" s="23">
        <v>16</v>
      </c>
      <c r="G255" s="23"/>
      <c r="H255" s="1">
        <v>46239</v>
      </c>
      <c r="I255" t="s">
        <v>893</v>
      </c>
      <c r="J255" t="s">
        <v>464</v>
      </c>
    </row>
    <row r="256" spans="1:10" x14ac:dyDescent="0.25">
      <c r="A256" t="s">
        <v>180</v>
      </c>
      <c r="B256" s="1">
        <v>46224</v>
      </c>
      <c r="C256" t="s">
        <v>8</v>
      </c>
      <c r="D256" t="s">
        <v>237</v>
      </c>
      <c r="E256" t="s">
        <v>512</v>
      </c>
      <c r="F256" s="23">
        <v>50</v>
      </c>
      <c r="G256" s="23"/>
      <c r="H256" s="1">
        <v>46241</v>
      </c>
      <c r="I256" t="s">
        <v>893</v>
      </c>
      <c r="J256" t="s">
        <v>513</v>
      </c>
    </row>
    <row r="257" spans="1:10" x14ac:dyDescent="0.25">
      <c r="A257" t="s">
        <v>180</v>
      </c>
      <c r="B257" s="1">
        <v>46241</v>
      </c>
      <c r="C257" t="s">
        <v>8</v>
      </c>
      <c r="D257" t="s">
        <v>237</v>
      </c>
      <c r="E257" t="s">
        <v>514</v>
      </c>
      <c r="F257" s="23">
        <v>25</v>
      </c>
      <c r="G257" s="23"/>
      <c r="H257" s="1">
        <v>46241</v>
      </c>
      <c r="I257" t="s">
        <v>893</v>
      </c>
      <c r="J257" t="s">
        <v>515</v>
      </c>
    </row>
    <row r="258" spans="1:10" x14ac:dyDescent="0.25">
      <c r="A258" t="s">
        <v>287</v>
      </c>
      <c r="B258" s="1">
        <v>46237</v>
      </c>
      <c r="C258" t="s">
        <v>8</v>
      </c>
      <c r="D258" t="s">
        <v>237</v>
      </c>
      <c r="E258" t="s">
        <v>546</v>
      </c>
      <c r="F258" s="23">
        <v>20</v>
      </c>
      <c r="G258" s="23"/>
      <c r="H258" s="1">
        <v>46248</v>
      </c>
      <c r="I258" t="s">
        <v>893</v>
      </c>
      <c r="J258" t="s">
        <v>547</v>
      </c>
    </row>
    <row r="259" spans="1:10" x14ac:dyDescent="0.25">
      <c r="A259" t="s">
        <v>287</v>
      </c>
      <c r="B259" s="1">
        <v>46237</v>
      </c>
      <c r="C259" t="s">
        <v>8</v>
      </c>
      <c r="D259" t="s">
        <v>237</v>
      </c>
      <c r="E259" t="s">
        <v>592</v>
      </c>
      <c r="F259" s="23">
        <v>20</v>
      </c>
      <c r="G259" s="23"/>
      <c r="H259" s="1">
        <v>46255</v>
      </c>
      <c r="I259" t="s">
        <v>893</v>
      </c>
      <c r="J259" t="s">
        <v>593</v>
      </c>
    </row>
    <row r="260" spans="1:10" x14ac:dyDescent="0.25">
      <c r="A260" t="s">
        <v>446</v>
      </c>
      <c r="B260" s="1">
        <v>46238</v>
      </c>
      <c r="C260" t="s">
        <v>8</v>
      </c>
      <c r="D260" t="s">
        <v>237</v>
      </c>
      <c r="E260" t="s">
        <v>594</v>
      </c>
      <c r="F260" s="23">
        <v>78</v>
      </c>
      <c r="G260" s="23"/>
      <c r="H260" s="1">
        <v>46255</v>
      </c>
      <c r="I260" t="s">
        <v>893</v>
      </c>
      <c r="J260" t="s">
        <v>595</v>
      </c>
    </row>
    <row r="261" spans="1:10" x14ac:dyDescent="0.25">
      <c r="A261" t="s">
        <v>467</v>
      </c>
      <c r="B261" s="1">
        <v>46241</v>
      </c>
      <c r="C261" t="s">
        <v>8</v>
      </c>
      <c r="D261" t="s">
        <v>237</v>
      </c>
      <c r="E261" t="s">
        <v>671</v>
      </c>
      <c r="F261" s="23">
        <v>16</v>
      </c>
      <c r="G261" s="23"/>
      <c r="H261" s="1">
        <v>46274</v>
      </c>
      <c r="I261" t="s">
        <v>893</v>
      </c>
      <c r="J261" t="s">
        <v>672</v>
      </c>
    </row>
    <row r="262" spans="1:10" x14ac:dyDescent="0.25">
      <c r="A262" t="s">
        <v>467</v>
      </c>
      <c r="B262" s="1">
        <v>46241</v>
      </c>
      <c r="C262" t="s">
        <v>8</v>
      </c>
      <c r="D262" t="s">
        <v>237</v>
      </c>
      <c r="E262" t="s">
        <v>673</v>
      </c>
      <c r="F262" s="23">
        <v>20</v>
      </c>
      <c r="G262" s="23"/>
      <c r="H262" s="1">
        <v>46274</v>
      </c>
      <c r="I262" t="s">
        <v>893</v>
      </c>
      <c r="J262" t="s">
        <v>674</v>
      </c>
    </row>
    <row r="263" spans="1:10" x14ac:dyDescent="0.25">
      <c r="A263" t="s">
        <v>366</v>
      </c>
      <c r="B263" s="1">
        <v>46244</v>
      </c>
      <c r="C263" t="s">
        <v>8</v>
      </c>
      <c r="D263" t="s">
        <v>675</v>
      </c>
      <c r="E263" t="s">
        <v>709</v>
      </c>
      <c r="F263" s="23">
        <v>6</v>
      </c>
      <c r="G263" s="23"/>
      <c r="H263" s="1">
        <v>46246</v>
      </c>
      <c r="I263" t="s">
        <v>893</v>
      </c>
      <c r="J263" t="s">
        <v>710</v>
      </c>
    </row>
    <row r="264" spans="1:10" x14ac:dyDescent="0.25">
      <c r="A264" t="s">
        <v>467</v>
      </c>
      <c r="B264" s="1">
        <v>46241</v>
      </c>
      <c r="C264" t="s">
        <v>8</v>
      </c>
      <c r="D264" t="s">
        <v>675</v>
      </c>
      <c r="E264" t="s">
        <v>676</v>
      </c>
      <c r="F264" s="23">
        <v>4</v>
      </c>
      <c r="G264" s="23"/>
      <c r="H264" s="1">
        <v>46274</v>
      </c>
      <c r="I264" t="s">
        <v>893</v>
      </c>
      <c r="J264" t="s">
        <v>677</v>
      </c>
    </row>
    <row r="265" spans="1:10" x14ac:dyDescent="0.25">
      <c r="A265" t="s">
        <v>467</v>
      </c>
      <c r="B265" s="1">
        <v>46241</v>
      </c>
      <c r="C265" t="s">
        <v>8</v>
      </c>
      <c r="D265" t="s">
        <v>675</v>
      </c>
      <c r="E265" t="s">
        <v>678</v>
      </c>
      <c r="F265" s="23">
        <v>24</v>
      </c>
      <c r="G265" s="23"/>
      <c r="H265" s="1">
        <v>46274</v>
      </c>
      <c r="I265" t="s">
        <v>893</v>
      </c>
      <c r="J265" t="s">
        <v>679</v>
      </c>
    </row>
    <row r="266" spans="1:10" x14ac:dyDescent="0.25">
      <c r="A266" t="s">
        <v>467</v>
      </c>
      <c r="B266" s="1">
        <v>46241</v>
      </c>
      <c r="C266" t="s">
        <v>8</v>
      </c>
      <c r="D266" t="s">
        <v>675</v>
      </c>
      <c r="E266" t="s">
        <v>689</v>
      </c>
      <c r="F266" s="23">
        <v>4</v>
      </c>
      <c r="G266" s="23"/>
      <c r="H266" s="1">
        <v>46281</v>
      </c>
      <c r="I266" t="s">
        <v>893</v>
      </c>
      <c r="J266" t="s">
        <v>690</v>
      </c>
    </row>
    <row r="267" spans="1:10" x14ac:dyDescent="0.25">
      <c r="A267" t="s">
        <v>204</v>
      </c>
      <c r="B267" s="1">
        <v>46245</v>
      </c>
      <c r="C267" t="s">
        <v>8</v>
      </c>
      <c r="D267" t="s">
        <v>228</v>
      </c>
      <c r="E267" t="s">
        <v>785</v>
      </c>
      <c r="F267" s="23">
        <v>135</v>
      </c>
      <c r="G267" s="23"/>
      <c r="H267" s="1">
        <v>46214</v>
      </c>
      <c r="I267" t="s">
        <v>893</v>
      </c>
      <c r="J267" t="s">
        <v>786</v>
      </c>
    </row>
    <row r="268" spans="1:10" x14ac:dyDescent="0.25">
      <c r="A268" t="s">
        <v>180</v>
      </c>
      <c r="B268" s="1">
        <v>46241</v>
      </c>
      <c r="C268" t="s">
        <v>8</v>
      </c>
      <c r="D268" t="s">
        <v>228</v>
      </c>
      <c r="E268" t="s">
        <v>516</v>
      </c>
      <c r="F268" s="23">
        <v>130</v>
      </c>
      <c r="G268" s="23"/>
      <c r="H268" s="1">
        <v>46241</v>
      </c>
      <c r="I268" t="s">
        <v>893</v>
      </c>
      <c r="J268" t="s">
        <v>517</v>
      </c>
    </row>
    <row r="269" spans="1:10" x14ac:dyDescent="0.25">
      <c r="A269" t="s">
        <v>446</v>
      </c>
      <c r="B269" s="1">
        <v>46238</v>
      </c>
      <c r="C269" t="s">
        <v>8</v>
      </c>
      <c r="D269" t="s">
        <v>228</v>
      </c>
      <c r="E269" t="s">
        <v>596</v>
      </c>
      <c r="F269" s="23">
        <v>90</v>
      </c>
      <c r="G269" s="23"/>
      <c r="H269" s="1">
        <v>46255</v>
      </c>
      <c r="I269" t="s">
        <v>893</v>
      </c>
      <c r="J269" t="s">
        <v>597</v>
      </c>
    </row>
    <row r="270" spans="1:10" x14ac:dyDescent="0.25">
      <c r="A270" t="s">
        <v>348</v>
      </c>
      <c r="B270" s="1">
        <v>46113</v>
      </c>
      <c r="C270" t="s">
        <v>8</v>
      </c>
      <c r="D270" t="s">
        <v>625</v>
      </c>
      <c r="E270" t="s">
        <v>626</v>
      </c>
      <c r="F270" s="23">
        <v>954</v>
      </c>
      <c r="G270" s="23"/>
      <c r="H270" s="1">
        <v>46269</v>
      </c>
      <c r="I270" t="s">
        <v>893</v>
      </c>
      <c r="J270" t="s">
        <v>627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6D74E3-CCEF-493F-B7A4-CA49B49A3B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braidy wonders</dc:creator>
  <cp:lastModifiedBy>ventas braidy wonders</cp:lastModifiedBy>
  <dcterms:created xsi:type="dcterms:W3CDTF">2026-08-09T22:44:19Z</dcterms:created>
  <dcterms:modified xsi:type="dcterms:W3CDTF">2026-08-20T18:37:13Z</dcterms:modified>
</cp:coreProperties>
</file>